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Inputs" sheetId="2" state="visible" r:id="rId2"/>
    <sheet name="Cores" sheetId="3" state="visible" r:id="rId3"/>
    <sheet name="Materials" sheetId="4" state="visible" r:id="rId4"/>
    <sheet name="Calc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"/>
    <numFmt numFmtId="165" formatCode="0.0"/>
    <numFmt numFmtId="166" formatCode="GENERAL"/>
    <numFmt numFmtId="167" formatCode="0.0000"/>
    <numFmt numFmtId="168" formatCode="0.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color rgb="00555555"/>
      <sz val="9"/>
    </font>
    <font>
      <sz val="10"/>
    </font>
    <font>
      <color rgb="00999999"/>
      <sz val="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D9EAF7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horizontal="center"/>
    </xf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1" fontId="0" fillId="0" borderId="0" pivotButton="0" quotePrefix="0" xfId="0"/>
    <xf numFmtId="168" fontId="0" fillId="0" borderId="0" pivotButton="0" quotePrefix="0" xfId="0"/>
    <xf numFmtId="0" fontId="7" fillId="0" borderId="0" pivotButton="0" quotePrefix="0" xfId="0"/>
    <xf numFmtId="167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变压器快速设计/校核工具 v2 · Excel 版（由 v2 引擎公式生成）</t>
        </is>
      </c>
    </row>
    <row r="2">
      <c r="A2" t="inlineStr"/>
    </row>
    <row r="3">
      <c r="A3" t="inlineStr">
        <is>
          <t>用法：只改「输入」表黄色单元格；「计算」表全为公式；「校核」表给判定；「磁芯库/材质」表按数据手册维护。</t>
        </is>
      </c>
    </row>
    <row r="4">
      <c r="A4" t="inlineStr">
        <is>
          <t>权威实现是同目录的 transformer_design_tool_v2.html（含 LLC 谐振腔设计、磁芯逐项对比、输入电压扫描、供应商承认书校核模式）。本表用于在 Excel 里改参数与出报告。</t>
        </is>
      </c>
    </row>
    <row r="5">
      <c r="A5" t="inlineStr"/>
    </row>
    <row r="6">
      <c r="A6" t="inlineStr">
        <is>
          <t>核心公式（全部基于伏秒平衡，不使用正弦 4.44 系数）：</t>
        </is>
      </c>
    </row>
    <row r="7">
      <c r="A7" t="inlineStr">
        <is>
          <t xml:space="preserve">  磁通 ΔB = V·t/(Np·Ae)，V·t = 施加电压 × 导通时间</t>
        </is>
      </c>
    </row>
    <row r="8">
      <c r="A8" t="inlineStr">
        <is>
          <t xml:space="preserve">  变比：反激 Vo=Vin·D/((1-D)n)；正激 Vo=Vin·D/n；推挽/全桥 Vo=2Vin·D/n；半桥 Vo=Vin·D/n；LLC 谐振点 Vo=Vin_nom/(2n)</t>
        </is>
      </c>
    </row>
    <row r="9">
      <c r="A9" t="inlineStr">
        <is>
          <t xml:space="preserve">  匝数 Np = max(磁通下限, 不饱和下限)；Ns 默认取四舍五入（可手动覆盖）；占空比是否超限在「校核」表提示</t>
        </is>
      </c>
    </row>
    <row r="10">
      <c r="A10" t="inlineStr">
        <is>
          <t xml:space="preserve">  正激复位绕组 Nr/Np ≥ D/(1-D)（等价 D_max = Nr/(Nr+Np)，1:1 时 D≤0.5）</t>
        </is>
      </c>
    </row>
    <row r="11">
      <c r="A11" t="inlineStr">
        <is>
          <t xml:space="preserve">  反激 Ipk = (Pin/(Vin_min·D_max))/(1-K/2)，Lp = Vin_min·D_max/(ΔI·Fs)；K≥2 时按 BCM 2·Pin/(Vin·D)</t>
        </is>
      </c>
    </row>
    <row r="12">
      <c r="A12" t="inlineStr">
        <is>
          <t xml:space="preserve">  电流有效值用梯形精确式 √(D(Ia²+Ia·Ib+Ib²)/3)；反激副边 Is_pk = n·Ipk</t>
        </is>
      </c>
    </row>
    <row r="13">
      <c r="A13" t="inlineStr">
        <is>
          <t xml:space="preserve">  气隙 AL = µ0·Ae/(lg+le/µi)；线圈 DCR = ρ·MLT·N/A_cu（本表按 100°C 折算）</t>
        </is>
      </c>
    </row>
    <row r="14">
      <c r="A14" t="inlineStr">
        <is>
          <t xml:space="preserve">  损耗 P_cu=ΣI_rms²·R_dc·F_R；P_core = Pcv_ref·(Fs/100kHz)^α·(B_ac/100mT)^β·Ve，B_ac=ΔB_pp/2；ΔT=(P_core+P_cu)·Rth</t>
        </is>
      </c>
    </row>
    <row r="15">
      <c r="A15" t="inlineStr">
        <is>
          <t xml:space="preserve">  输出级 输出电感 L=Vo(1-D)/(ΔI_L·Fs)；输出电容按纹波预算分解 ESR/容性分量；整流对比 Vf·I_avg 与 Rds(on)·I_rms²</t>
        </is>
      </c>
    </row>
    <row r="16">
      <c r="A16" t="inlineStr"/>
    </row>
    <row r="17">
      <c r="A17" t="inlineStr">
        <is>
          <t>与网页版的差异：本表不含 LLC 谐振腔（Q_max 二分/增益曲线/ZVS）与磁芯逐项对比；铜电阻率固定 100°C（网页版按实际温度迭代）。</t>
        </is>
      </c>
    </row>
    <row r="18">
      <c r="A18" t="inlineStr"/>
    </row>
    <row r="19">
      <c r="A19" t="inlineStr">
        <is>
          <t>自检：见「校核」表末尾的"活体自检"区（磁通两条路径、实测 AL 与几何推算对照、填充率往返），偏差应为 0（或按说明为信息项）。</t>
        </is>
      </c>
    </row>
    <row r="20">
      <c r="A20" t="inlineStr"/>
    </row>
    <row r="21">
      <c r="A21" t="inlineStr">
        <is>
          <t>★ 验证状态（重要，请勿忽略）：本表"反激"分支已与引擎逐格比对一致（19/19 项，含 n/Np/Ns/占空比/ΔB/Bpk/Lp/各电流/填充率/J/DCR/损耗/温升）；</t>
        </is>
      </c>
    </row>
    <row r="22">
      <c r="A22" t="inlineStr">
        <is>
          <t xml:space="preserve">   正激/推挽/半桥/全桥/LLC 分支的公式结构相同但尚未全部通过逐格比对（还有 3~4 处偏差未定位，涉及励磁电感单位与桥式原边有效值电流）。</t>
        </is>
      </c>
    </row>
    <row r="23">
      <c r="A23" t="inlineStr">
        <is>
          <t xml:space="preserve">   在非反激拓扑下请以网页版 transformer_design_tool_v2.html 为准，或把本表当作需人工复核的草稿。</t>
        </is>
      </c>
    </row>
    <row r="24">
      <c r="A24" t="inlineStr">
        <is>
          <t xml:space="preserve">   （比对命令：node verify_transformer_tool_v2.mjs --dump dump.json &lt;scenario&gt; 后 python make_excel_from_v2_engine.py --verify dump.json，scenario ∈ flyback/forward/halfbridge/llc）</t>
        </is>
      </c>
    </row>
    <row r="25">
      <c r="A25" t="inlineStr">
        <is>
          <t>可信边界：公式与内部一致性由 379 项自动检查覆盖（含 2800 例随机工况），但无样机实测对照；磁芯/材质数据必须按数据手册覆盖；漏感、EMI、绝缘、瞬态未建模。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>
      <c r="A1" s="2" t="inlineStr">
        <is>
          <t>设计输入（黄色=需填写/选择）</t>
        </is>
      </c>
    </row>
    <row r="3">
      <c r="A3" s="3" t="inlineStr">
        <is>
          <t>拓扑 / Topology</t>
        </is>
      </c>
      <c r="B3" s="4" t="inlineStr">
        <is>
          <t>Flyback</t>
        </is>
      </c>
      <c r="C3" s="5" t="inlineStr">
        <is>
          <t>下拉选择，全部公式按此分支</t>
        </is>
      </c>
    </row>
    <row r="4">
      <c r="A4" s="3" t="inlineStr">
        <is>
          <t>磁芯型号 / Core model</t>
        </is>
      </c>
      <c r="B4" s="4" t="inlineStr">
        <is>
          <t>EE25/13/7</t>
        </is>
      </c>
      <c r="C4" s="5" t="inlineStr">
        <is>
          <t>取自"磁芯库"，可按数据手册修改</t>
        </is>
      </c>
    </row>
    <row r="5">
      <c r="A5" s="3" t="inlineStr">
        <is>
          <t>材质 / Material</t>
        </is>
      </c>
      <c r="B5" s="4" t="inlineStr">
        <is>
          <t>PC40</t>
        </is>
      </c>
      <c r="C5" s="5" t="inlineStr">
        <is>
          <t>取自"材质"表</t>
        </is>
      </c>
    </row>
    <row r="6">
      <c r="A6" s="3" t="inlineStr">
        <is>
          <t>副边整流方式 (ct/bridge)</t>
        </is>
      </c>
      <c r="B6" s="4" t="inlineStr">
        <is>
          <t>ct</t>
        </is>
      </c>
      <c r="C6" s="5" t="inlineStr">
        <is>
          <t>桥式/推挽中心抽头按 2 个副边绕组统计窗口</t>
        </is>
      </c>
    </row>
    <row r="7">
      <c r="A7" s="3" t="inlineStr">
        <is>
          <t>Vin_nom (V)（LLC 用，0=取中点）</t>
        </is>
      </c>
      <c r="B7" s="4" t="n">
        <v>0</v>
      </c>
      <c r="C7" s="5" t="inlineStr">
        <is>
          <t>LLC 额定输入</t>
        </is>
      </c>
    </row>
    <row r="8">
      <c r="A8" s="3" t="inlineStr">
        <is>
          <t>Ns 手动覆盖（0=按公式取整）</t>
        </is>
      </c>
      <c r="B8" s="4" t="n">
        <v>0</v>
      </c>
      <c r="C8" s="5" t="inlineStr">
        <is>
          <t>评审供应商方案时直接填其匝数</t>
        </is>
      </c>
    </row>
    <row r="9">
      <c r="A9" s="3" t="inlineStr">
        <is>
          <t>Vin_min (V)</t>
        </is>
      </c>
      <c r="B9" s="4" t="n">
        <v>9</v>
      </c>
      <c r="C9" s="5" t="inlineStr"/>
    </row>
    <row r="10">
      <c r="A10" s="3" t="inlineStr">
        <is>
          <t>Vin_max (V)</t>
        </is>
      </c>
      <c r="B10" s="4" t="n">
        <v>36</v>
      </c>
      <c r="C10" s="5" t="inlineStr"/>
    </row>
    <row r="11">
      <c r="A11" s="3" t="inlineStr">
        <is>
          <t>Vout (V)</t>
        </is>
      </c>
      <c r="B11" s="4" t="n">
        <v>12</v>
      </c>
      <c r="C11" s="5" t="inlineStr"/>
    </row>
    <row r="12">
      <c r="A12" s="3" t="inlineStr">
        <is>
          <t>Iout (A)</t>
        </is>
      </c>
      <c r="B12" s="4" t="n">
        <v>2</v>
      </c>
      <c r="C12" s="5" t="inlineStr"/>
    </row>
    <row r="13">
      <c r="A13" s="3" t="inlineStr">
        <is>
          <t>Vf (V)</t>
        </is>
      </c>
      <c r="B13" s="4" t="n">
        <v>0.5</v>
      </c>
      <c r="C13" s="5" t="inlineStr">
        <is>
          <t>输出整流压降</t>
        </is>
      </c>
    </row>
    <row r="14">
      <c r="A14" s="3" t="inlineStr">
        <is>
          <t>Fs (kHz)</t>
        </is>
      </c>
      <c r="B14" s="4" t="n">
        <v>100</v>
      </c>
      <c r="C14" s="5" t="inlineStr"/>
    </row>
    <row r="15">
      <c r="A15" s="3" t="inlineStr">
        <is>
          <t>eta</t>
        </is>
      </c>
      <c r="B15" s="4" t="n">
        <v>0.9</v>
      </c>
      <c r="C15" s="5" t="inlineStr"/>
    </row>
    <row r="16">
      <c r="A16" s="3" t="inlineStr">
        <is>
          <t>D_max（Vin_min 处）</t>
        </is>
      </c>
      <c r="B16" s="4" t="n">
        <v>0.45</v>
      </c>
      <c r="C16" s="5" t="inlineStr">
        <is>
          <t>反激=开关；正激=单管；桥式=每管</t>
        </is>
      </c>
    </row>
    <row r="17">
      <c r="A17" s="3" t="inlineStr">
        <is>
          <t>ΔB_target (T)</t>
        </is>
      </c>
      <c r="B17" s="4" t="n">
        <v>0.2</v>
      </c>
      <c r="C17" s="5" t="inlineStr">
        <is>
          <t>允许磁通摆幅（峰峰）</t>
        </is>
      </c>
    </row>
    <row r="18">
      <c r="A18" s="3" t="inlineStr">
        <is>
          <t>Bsat 降额系数</t>
        </is>
      </c>
      <c r="B18" s="4" t="n">
        <v>0.8</v>
      </c>
      <c r="C18" s="5" t="inlineStr"/>
    </row>
    <row r="19">
      <c r="A19" s="3" t="inlineStr">
        <is>
          <t>纹波比 K=ΔI/Ipk（反激类）</t>
        </is>
      </c>
      <c r="B19" s="4" t="n">
        <v>0.4</v>
      </c>
      <c r="C19" s="5" t="inlineStr">
        <is>
          <t>2=BCM 边界</t>
        </is>
      </c>
    </row>
    <row r="20">
      <c r="A20" s="3" t="inlineStr">
        <is>
          <t>输出电感纹波 ΔI_L (A)</t>
        </is>
      </c>
      <c r="B20" s="4" t="n">
        <v>0.6</v>
      </c>
      <c r="C20" s="5" t="inlineStr">
        <is>
          <t>正激/桥式，Vin_min 设计点</t>
        </is>
      </c>
    </row>
    <row r="21">
      <c r="A21" s="3" t="inlineStr">
        <is>
          <t>目标电流密度 J (A/mm²)</t>
        </is>
      </c>
      <c r="B21" s="4" t="n">
        <v>4</v>
      </c>
      <c r="C21" s="5" t="inlineStr"/>
    </row>
    <row r="22">
      <c r="A22" s="3" t="inlineStr">
        <is>
          <t>窗口利用率上限 Ku</t>
        </is>
      </c>
      <c r="B22" s="4" t="n">
        <v>0.4</v>
      </c>
      <c r="C22" s="5" t="inlineStr"/>
    </row>
    <row r="23">
      <c r="A23" s="3" t="inlineStr">
        <is>
          <t>绕线填充系数 k_pack</t>
        </is>
      </c>
      <c r="B23" s="4" t="n">
        <v>1.25</v>
      </c>
      <c r="C23" s="5" t="inlineStr">
        <is>
          <t>排绕≈1.1、乱绕1.2~1.4</t>
        </is>
      </c>
    </row>
    <row r="24">
      <c r="A24" s="3" t="inlineStr">
        <is>
          <t>热阻 Rth (K/W)</t>
        </is>
      </c>
      <c r="B24" s="4" t="n">
        <v>28</v>
      </c>
      <c r="C24" s="5" t="inlineStr"/>
    </row>
    <row r="25">
      <c r="A25" s="3" t="inlineStr">
        <is>
          <t>目标温升 ΔT (K)</t>
        </is>
      </c>
      <c r="B25" s="4" t="n">
        <v>40</v>
      </c>
      <c r="C25" s="5" t="inlineStr"/>
    </row>
    <row r="26">
      <c r="A26" s="3" t="inlineStr">
        <is>
          <t>环境温度 Tamb (°C)</t>
        </is>
      </c>
      <c r="B26" s="4" t="n">
        <v>40</v>
      </c>
      <c r="C26" s="5" t="inlineStr"/>
    </row>
    <row r="27">
      <c r="A27" s="3" t="inlineStr">
        <is>
          <t>高频电阻系数 F_R</t>
        </is>
      </c>
      <c r="B27" s="4" t="n">
        <v>1.2</v>
      </c>
      <c r="C27" s="5" t="inlineStr"/>
    </row>
    <row r="28">
      <c r="A28" s="3" t="inlineStr">
        <is>
          <t>输出纹波允许值 (% of Vout)</t>
        </is>
      </c>
      <c r="B28" s="4" t="n">
        <v>1</v>
      </c>
      <c r="C28" s="5" t="inlineStr"/>
    </row>
    <row r="29">
      <c r="A29" s="3" t="inlineStr">
        <is>
          <t>输出电容 ESR (Ω)</t>
        </is>
      </c>
      <c r="B29" s="4" t="n">
        <v>0.01</v>
      </c>
      <c r="C29" s="5" t="inlineStr"/>
    </row>
    <row r="30">
      <c r="A30" s="3" t="inlineStr">
        <is>
          <t>同步整流 Rds(on) (mΩ)</t>
        </is>
      </c>
      <c r="B30" s="4" t="n">
        <v>10</v>
      </c>
      <c r="C30" s="5" t="inlineStr"/>
    </row>
    <row r="31">
      <c r="A31" s="3" t="inlineStr">
        <is>
          <t>SR 体二极管压降 (V)</t>
        </is>
      </c>
      <c r="B31" s="4" t="n">
        <v>0.8</v>
      </c>
      <c r="C31" s="5" t="inlineStr"/>
    </row>
    <row r="32">
      <c r="A32" s="3" t="inlineStr">
        <is>
          <t>死区时间 t_dead (ns)</t>
        </is>
      </c>
      <c r="B32" s="4" t="n">
        <v>200</v>
      </c>
      <c r="C32" s="5" t="inlineStr"/>
    </row>
    <row r="33">
      <c r="A33" s="3" t="inlineStr">
        <is>
          <t>原边线径模式 (auto/mm)</t>
        </is>
      </c>
      <c r="B33" s="4" t="inlineStr">
        <is>
          <t>mm</t>
        </is>
      </c>
      <c r="C33" s="5" t="inlineStr">
        <is>
          <t>auto 只自动取线径；股数用输入值</t>
        </is>
      </c>
    </row>
    <row r="34">
      <c r="A34" s="3" t="inlineStr">
        <is>
          <t>原边单股线径 (mm)</t>
        </is>
      </c>
      <c r="B34" s="4" t="n">
        <v>0.4</v>
      </c>
      <c r="C34" s="5" t="inlineStr">
        <is>
          <t>手动模式</t>
        </is>
      </c>
    </row>
    <row r="35">
      <c r="A35" s="3" t="inlineStr">
        <is>
          <t>原边股数</t>
        </is>
      </c>
      <c r="B35" s="4" t="n">
        <v>10</v>
      </c>
      <c r="C35" s="5" t="inlineStr"/>
    </row>
    <row r="36">
      <c r="A36" s="3" t="inlineStr">
        <is>
          <t>原边并联绕组数</t>
        </is>
      </c>
      <c r="B36" s="4" t="n">
        <v>1</v>
      </c>
      <c r="C36" s="5" t="inlineStr"/>
    </row>
    <row r="37">
      <c r="A37" s="3" t="inlineStr">
        <is>
          <t>副边线径模式 (auto/mm)</t>
        </is>
      </c>
      <c r="B37" s="4" t="inlineStr">
        <is>
          <t>mm</t>
        </is>
      </c>
      <c r="C37" s="5" t="inlineStr"/>
    </row>
    <row r="38">
      <c r="A38" s="3" t="inlineStr">
        <is>
          <t>副边单股线径 (mm)</t>
        </is>
      </c>
      <c r="B38" s="4" t="n">
        <v>0.4</v>
      </c>
      <c r="C38" s="5" t="inlineStr"/>
    </row>
    <row r="39">
      <c r="A39" s="3" t="inlineStr">
        <is>
          <t>副边股数</t>
        </is>
      </c>
      <c r="B39" s="4" t="n">
        <v>10</v>
      </c>
      <c r="C39" s="5" t="inlineStr"/>
    </row>
    <row r="40">
      <c r="A40" s="3" t="inlineStr">
        <is>
          <t>副边并联绕组数</t>
        </is>
      </c>
      <c r="B40" s="4" t="n">
        <v>1</v>
      </c>
      <c r="C40" s="5" t="inlineStr"/>
    </row>
  </sheetData>
  <dataValidations count="6">
    <dataValidation sqref="'Inputs'!B3" showDropDown="0" showInputMessage="0" showErrorMessage="0" allowBlank="0" type="list">
      <formula1>"Flyback,Active Clamp Flyback,Forward,Push-Pull,Half-Bridge,Full-Bridge,LLC Resonant"</formula1>
    </dataValidation>
    <dataValidation sqref="'Inputs'!B6" showDropDown="0" showInputMessage="0" showErrorMessage="0" allowBlank="0" type="list">
      <formula1>"ct,bridge"</formula1>
    </dataValidation>
    <dataValidation sqref="'Inputs'!B33" showDropDown="0" showInputMessage="0" showErrorMessage="0" allowBlank="0" type="list">
      <formula1>"auto,mm"</formula1>
    </dataValidation>
    <dataValidation sqref="'Inputs'!B37" showDropDown="0" showInputMessage="0" showErrorMessage="0" allowBlank="0" type="list">
      <formula1>"auto,mm"</formula1>
    </dataValidation>
    <dataValidation sqref="'Inputs'!B4" showDropDown="0" showInputMessage="0" showErrorMessage="0" allowBlank="0" type="list">
      <formula1>=Cores!$A$2:$A$23</formula1>
    </dataValidation>
    <dataValidation sqref="'Inputs'!B5" showDropDown="0" showInputMessage="0" showErrorMessage="0" allowBlank="0" type="list">
      <formula1>=Materials!$A$2:$A$11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0" customWidth="1" min="8" max="8"/>
    <col width="70" customWidth="1" min="9" max="9"/>
  </cols>
  <sheetData>
    <row r="1">
      <c r="A1" s="6" t="inlineStr">
        <is>
          <t>型号 model</t>
        </is>
      </c>
      <c r="B1" s="6" t="inlineStr">
        <is>
          <t>族 family</t>
        </is>
      </c>
      <c r="C1" s="6" t="inlineStr">
        <is>
          <t>Ae (mm²)</t>
        </is>
      </c>
      <c r="D1" s="6" t="inlineStr">
        <is>
          <t>le (mm)</t>
        </is>
      </c>
      <c r="E1" s="6" t="inlineStr">
        <is>
          <t>Aw (mm²)</t>
        </is>
      </c>
      <c r="F1" s="6" t="inlineStr">
        <is>
          <t>MLT (mm)</t>
        </is>
      </c>
      <c r="G1" s="6" t="inlineStr">
        <is>
          <t>实测 AL (nH/N²)</t>
        </is>
      </c>
      <c r="H1" s="6" t="inlineStr">
        <is>
          <t>来源 src</t>
        </is>
      </c>
      <c r="I1" s="6" t="inlineStr">
        <is>
          <t>备注 note</t>
        </is>
      </c>
    </row>
    <row r="2">
      <c r="A2" t="inlineStr">
        <is>
          <t>EE16/8/5</t>
        </is>
      </c>
      <c r="B2" t="inlineStr">
        <is>
          <t>EE</t>
        </is>
      </c>
      <c r="C2" t="n">
        <v>20.1</v>
      </c>
      <c r="D2" t="n">
        <v>37.6</v>
      </c>
      <c r="E2" t="n">
        <v>26</v>
      </c>
      <c r="F2" t="n">
        <v>34</v>
      </c>
      <c r="H2" t="inlineStr">
        <is>
          <t>preset</t>
        </is>
      </c>
      <c r="I2" t="inlineStr">
        <is>
          <t>族量级典型值，请按数据手册覆盖</t>
        </is>
      </c>
    </row>
    <row r="3">
      <c r="A3" t="inlineStr">
        <is>
          <t>EE19/8/5</t>
        </is>
      </c>
      <c r="B3" t="inlineStr">
        <is>
          <t>EE</t>
        </is>
      </c>
      <c r="C3" t="n">
        <v>22.5</v>
      </c>
      <c r="D3" t="n">
        <v>39.4</v>
      </c>
      <c r="E3" t="n">
        <v>33</v>
      </c>
      <c r="F3" t="n">
        <v>36</v>
      </c>
      <c r="H3" t="inlineStr">
        <is>
          <t>preset</t>
        </is>
      </c>
      <c r="I3" t="inlineStr">
        <is>
          <t>族量级典型值</t>
        </is>
      </c>
    </row>
    <row r="4">
      <c r="A4" t="inlineStr">
        <is>
          <t>EE25/13/7</t>
        </is>
      </c>
      <c r="B4" t="inlineStr">
        <is>
          <t>EE</t>
        </is>
      </c>
      <c r="C4" t="n">
        <v>52.2</v>
      </c>
      <c r="D4" t="n">
        <v>57.5</v>
      </c>
      <c r="E4" t="n">
        <v>54</v>
      </c>
      <c r="F4" t="n">
        <v>50</v>
      </c>
      <c r="H4" t="inlineStr">
        <is>
          <t>preset</t>
        </is>
      </c>
      <c r="I4" t="inlineStr">
        <is>
          <t>族量级典型值</t>
        </is>
      </c>
    </row>
    <row r="5">
      <c r="A5" t="inlineStr">
        <is>
          <t>EE30/15/7</t>
        </is>
      </c>
      <c r="B5" t="inlineStr">
        <is>
          <t>EE</t>
        </is>
      </c>
      <c r="C5" t="n">
        <v>60</v>
      </c>
      <c r="D5" t="n">
        <v>67</v>
      </c>
      <c r="E5" t="n">
        <v>73</v>
      </c>
      <c r="F5" t="n">
        <v>57</v>
      </c>
      <c r="H5" t="inlineStr">
        <is>
          <t>preset</t>
        </is>
      </c>
      <c r="I5" t="inlineStr">
        <is>
          <t>族量级典型值</t>
        </is>
      </c>
    </row>
    <row r="6">
      <c r="A6" t="inlineStr">
        <is>
          <t>EE35/18/11</t>
        </is>
      </c>
      <c r="B6" t="inlineStr">
        <is>
          <t>EE</t>
        </is>
      </c>
      <c r="C6" t="n">
        <v>101</v>
      </c>
      <c r="D6" t="n">
        <v>68.40000000000001</v>
      </c>
      <c r="E6" t="n">
        <v>106</v>
      </c>
      <c r="F6" t="n">
        <v>66</v>
      </c>
      <c r="H6" t="inlineStr">
        <is>
          <t>preset</t>
        </is>
      </c>
      <c r="I6" t="inlineStr">
        <is>
          <t>族量级典型值</t>
        </is>
      </c>
    </row>
    <row r="7">
      <c r="A7" t="inlineStr">
        <is>
          <t>EFD15/8/5</t>
        </is>
      </c>
      <c r="B7" t="inlineStr">
        <is>
          <t>EFD</t>
        </is>
      </c>
      <c r="C7" t="n">
        <v>15</v>
      </c>
      <c r="D7" t="n">
        <v>34</v>
      </c>
      <c r="E7" t="n">
        <v>19</v>
      </c>
      <c r="F7" t="n">
        <v>33</v>
      </c>
      <c r="H7" t="inlineStr">
        <is>
          <t>preset</t>
        </is>
      </c>
      <c r="I7" t="inlineStr">
        <is>
          <t>族量级典型值</t>
        </is>
      </c>
    </row>
    <row r="8">
      <c r="A8" t="inlineStr">
        <is>
          <t>EFD20/10/7</t>
        </is>
      </c>
      <c r="B8" t="inlineStr">
        <is>
          <t>EFD</t>
        </is>
      </c>
      <c r="C8" t="n">
        <v>31</v>
      </c>
      <c r="D8" t="n">
        <v>46.5</v>
      </c>
      <c r="E8" t="n">
        <v>39</v>
      </c>
      <c r="F8" t="n">
        <v>41</v>
      </c>
      <c r="H8" t="inlineStr">
        <is>
          <t>preset</t>
        </is>
      </c>
      <c r="I8" t="inlineStr">
        <is>
          <t>族量级典型值</t>
        </is>
      </c>
    </row>
    <row r="9">
      <c r="A9" t="inlineStr">
        <is>
          <t>EFD30/15/9</t>
        </is>
      </c>
      <c r="B9" t="inlineStr">
        <is>
          <t>EFD</t>
        </is>
      </c>
      <c r="C9" t="n">
        <v>69</v>
      </c>
      <c r="D9" t="n">
        <v>64.8</v>
      </c>
      <c r="E9" t="n">
        <v>82</v>
      </c>
      <c r="F9" t="n">
        <v>52</v>
      </c>
      <c r="H9" t="inlineStr">
        <is>
          <t>preset</t>
        </is>
      </c>
      <c r="I9" t="inlineStr">
        <is>
          <t>族量级典型值</t>
        </is>
      </c>
    </row>
    <row r="10">
      <c r="A10" t="inlineStr">
        <is>
          <t>ETD29/16/10</t>
        </is>
      </c>
      <c r="B10" t="inlineStr">
        <is>
          <t>ETD</t>
        </is>
      </c>
      <c r="C10" t="n">
        <v>76</v>
      </c>
      <c r="D10" t="n">
        <v>70.40000000000001</v>
      </c>
      <c r="E10" t="n">
        <v>104</v>
      </c>
      <c r="F10" t="n">
        <v>62</v>
      </c>
      <c r="H10" t="inlineStr">
        <is>
          <t>preset</t>
        </is>
      </c>
      <c r="I10" t="inlineStr">
        <is>
          <t>族量级典型值</t>
        </is>
      </c>
    </row>
    <row r="11">
      <c r="A11" t="inlineStr">
        <is>
          <t>ETD34/17/11</t>
        </is>
      </c>
      <c r="B11" t="inlineStr">
        <is>
          <t>ETD</t>
        </is>
      </c>
      <c r="C11" t="n">
        <v>97.09999999999999</v>
      </c>
      <c r="D11" t="n">
        <v>78.59999999999999</v>
      </c>
      <c r="E11" t="n">
        <v>138</v>
      </c>
      <c r="F11" t="n">
        <v>68</v>
      </c>
      <c r="H11" t="inlineStr">
        <is>
          <t>preset</t>
        </is>
      </c>
      <c r="I11" t="inlineStr">
        <is>
          <t>族量级典型值</t>
        </is>
      </c>
    </row>
    <row r="12">
      <c r="A12" t="inlineStr">
        <is>
          <t>PQ26/20</t>
        </is>
      </c>
      <c r="B12" t="inlineStr">
        <is>
          <t>PQ</t>
        </is>
      </c>
      <c r="C12" t="n">
        <v>118</v>
      </c>
      <c r="D12" t="n">
        <v>46.9</v>
      </c>
      <c r="E12" t="n">
        <v>76</v>
      </c>
      <c r="F12" t="n">
        <v>50</v>
      </c>
      <c r="H12" t="inlineStr">
        <is>
          <t>preset</t>
        </is>
      </c>
      <c r="I12" t="inlineStr">
        <is>
          <t>族量级典型值</t>
        </is>
      </c>
    </row>
    <row r="13">
      <c r="A13" t="inlineStr">
        <is>
          <t>PQ35/35</t>
        </is>
      </c>
      <c r="B13" t="inlineStr">
        <is>
          <t>PQ</t>
        </is>
      </c>
      <c r="C13" t="n">
        <v>212</v>
      </c>
      <c r="D13" t="n">
        <v>60.4</v>
      </c>
      <c r="E13" t="n">
        <v>158</v>
      </c>
      <c r="F13" t="n">
        <v>62</v>
      </c>
      <c r="H13" t="inlineStr">
        <is>
          <t>preset</t>
        </is>
      </c>
      <c r="I13" t="inlineStr">
        <is>
          <t>族量级典型值</t>
        </is>
      </c>
    </row>
    <row r="14">
      <c r="A14" t="inlineStr">
        <is>
          <t>PQ50/50</t>
        </is>
      </c>
      <c r="B14" t="inlineStr">
        <is>
          <t>PQ</t>
        </is>
      </c>
      <c r="C14" t="n">
        <v>328</v>
      </c>
      <c r="D14" t="n">
        <v>93.59999999999999</v>
      </c>
      <c r="E14" t="n">
        <v>375</v>
      </c>
      <c r="F14" t="n">
        <v>97</v>
      </c>
      <c r="H14" t="inlineStr">
        <is>
          <t>preset</t>
        </is>
      </c>
      <c r="I14" t="inlineStr">
        <is>
          <t>族量级典型值</t>
        </is>
      </c>
    </row>
    <row r="15">
      <c r="A15" t="inlineStr">
        <is>
          <t>RM6/I</t>
        </is>
      </c>
      <c r="B15" t="inlineStr">
        <is>
          <t>RM</t>
        </is>
      </c>
      <c r="C15" t="n">
        <v>36.6</v>
      </c>
      <c r="D15" t="n">
        <v>45.6</v>
      </c>
      <c r="E15" t="n">
        <v>32</v>
      </c>
      <c r="F15" t="n">
        <v>40</v>
      </c>
      <c r="H15" t="inlineStr">
        <is>
          <t>preset</t>
        </is>
      </c>
      <c r="I15" t="inlineStr">
        <is>
          <t>族量级典型值</t>
        </is>
      </c>
    </row>
    <row r="16">
      <c r="A16" t="inlineStr">
        <is>
          <t>RM8/I</t>
        </is>
      </c>
      <c r="B16" t="inlineStr">
        <is>
          <t>RM</t>
        </is>
      </c>
      <c r="C16" t="n">
        <v>64</v>
      </c>
      <c r="D16" t="n">
        <v>53</v>
      </c>
      <c r="E16" t="n">
        <v>52</v>
      </c>
      <c r="F16" t="n">
        <v>48</v>
      </c>
      <c r="H16" t="inlineStr">
        <is>
          <t>preset</t>
        </is>
      </c>
      <c r="I16" t="inlineStr">
        <is>
          <t>族量级典型值</t>
        </is>
      </c>
    </row>
    <row r="17">
      <c r="A17" t="inlineStr">
        <is>
          <t>RM10/I</t>
        </is>
      </c>
      <c r="B17" t="inlineStr">
        <is>
          <t>RM</t>
        </is>
      </c>
      <c r="C17" t="n">
        <v>98</v>
      </c>
      <c r="D17" t="n">
        <v>61.5</v>
      </c>
      <c r="E17" t="n">
        <v>70</v>
      </c>
      <c r="F17" t="n">
        <v>55</v>
      </c>
      <c r="H17" t="inlineStr">
        <is>
          <t>preset</t>
        </is>
      </c>
      <c r="I17" t="inlineStr">
        <is>
          <t>族量级典型值</t>
        </is>
      </c>
    </row>
    <row r="18">
      <c r="A18" t="inlineStr">
        <is>
          <t>EP13</t>
        </is>
      </c>
      <c r="B18" t="inlineStr">
        <is>
          <t>EP</t>
        </is>
      </c>
      <c r="C18" t="n">
        <v>19.6</v>
      </c>
      <c r="D18" t="n">
        <v>25</v>
      </c>
      <c r="E18" t="n">
        <v>21</v>
      </c>
      <c r="F18" t="n">
        <v>30</v>
      </c>
      <c r="H18" t="inlineStr">
        <is>
          <t>preset</t>
        </is>
      </c>
      <c r="I18" t="inlineStr">
        <is>
          <t>族量级典型值</t>
        </is>
      </c>
    </row>
    <row r="19">
      <c r="A19" t="inlineStr">
        <is>
          <t>EP17</t>
        </is>
      </c>
      <c r="B19" t="inlineStr">
        <is>
          <t>EP</t>
        </is>
      </c>
      <c r="C19" t="n">
        <v>33.9</v>
      </c>
      <c r="D19" t="n">
        <v>31.7</v>
      </c>
      <c r="E19" t="n">
        <v>37</v>
      </c>
      <c r="F19" t="n">
        <v>36</v>
      </c>
      <c r="H19" t="inlineStr">
        <is>
          <t>preset</t>
        </is>
      </c>
      <c r="I19" t="inlineStr">
        <is>
          <t>族量级典型值</t>
        </is>
      </c>
    </row>
    <row r="20">
      <c r="A20" t="inlineStr">
        <is>
          <t>EPC13</t>
        </is>
      </c>
      <c r="B20" t="inlineStr">
        <is>
          <t>EPC</t>
        </is>
      </c>
      <c r="C20" t="n">
        <v>12.1</v>
      </c>
      <c r="D20" t="n">
        <v>24.2</v>
      </c>
      <c r="E20" t="n">
        <v>14</v>
      </c>
      <c r="F20" t="n">
        <v>29</v>
      </c>
      <c r="H20" t="inlineStr">
        <is>
          <t>preset</t>
        </is>
      </c>
      <c r="I20" t="inlineStr">
        <is>
          <t>族量级典型值</t>
        </is>
      </c>
    </row>
    <row r="21">
      <c r="A21" t="inlineStr">
        <is>
          <t>EPC19</t>
        </is>
      </c>
      <c r="B21" t="inlineStr">
        <is>
          <t>EPC</t>
        </is>
      </c>
      <c r="C21" t="n">
        <v>52</v>
      </c>
      <c r="D21" t="n">
        <v>32</v>
      </c>
      <c r="E21" t="n">
        <v>38</v>
      </c>
      <c r="F21" t="n">
        <v>38</v>
      </c>
      <c r="G21" t="n">
        <v>1146</v>
      </c>
      <c r="H21" t="inlineStr">
        <is>
          <t>measured</t>
        </is>
      </c>
      <c r="I21" t="inlineStr">
        <is>
          <t>AL=1146nH/N²、MLT≈38mm 来自天胜 TST1724 承认书；Ae=52/le=32/Aw=38 由 19V/75W 输出电感不饱和反推（待手册确认，两个供应商数据均已印证）</t>
        </is>
      </c>
    </row>
    <row r="22">
      <c r="A22" t="inlineStr">
        <is>
          <t>EPC25</t>
        </is>
      </c>
      <c r="B22" t="inlineStr">
        <is>
          <t>EPC</t>
        </is>
      </c>
      <c r="C22" t="n">
        <v>30</v>
      </c>
      <c r="D22" t="n">
        <v>35</v>
      </c>
      <c r="E22" t="n">
        <v>34</v>
      </c>
      <c r="F22" t="n">
        <v>42</v>
      </c>
      <c r="H22" t="inlineStr">
        <is>
          <t>preset</t>
        </is>
      </c>
      <c r="I22" t="inlineStr">
        <is>
          <t>族量级典型值</t>
        </is>
      </c>
    </row>
    <row r="23">
      <c r="A23" t="inlineStr">
        <is>
          <t>Custom</t>
        </is>
      </c>
      <c r="B23" t="inlineStr">
        <is>
          <t>CUSTOM</t>
        </is>
      </c>
      <c r="C23" t="n">
        <v>50</v>
      </c>
      <c r="D23" t="n">
        <v>55</v>
      </c>
      <c r="E23" t="n">
        <v>50</v>
      </c>
      <c r="F23" t="n">
        <v>50</v>
      </c>
      <c r="H23" t="inlineStr">
        <is>
          <t>user</t>
        </is>
      </c>
      <c r="I23" t="inlineStr">
        <is>
          <t>自定义：自行填写几何与实测 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4" max="4"/>
    <col width="34" customWidth="1" min="7" max="7"/>
  </cols>
  <sheetData>
    <row r="1">
      <c r="A1" s="6" t="inlineStr">
        <is>
          <t>材质</t>
        </is>
      </c>
      <c r="B1" s="6" t="inlineStr">
        <is>
          <t>µi</t>
        </is>
      </c>
      <c r="C1" s="6" t="inlineStr">
        <is>
          <t>Bsat@100°C (T)</t>
        </is>
      </c>
      <c r="D1" s="6" t="inlineStr">
        <is>
          <t>Pcv_ref@100kHz/100mT (kW/m³)</t>
        </is>
      </c>
      <c r="E1" s="6" t="inlineStr">
        <is>
          <t>α</t>
        </is>
      </c>
      <c r="F1" s="6" t="inlineStr">
        <is>
          <t>β</t>
        </is>
      </c>
      <c r="G1" s="6" t="inlineStr">
        <is>
          <t>备注</t>
        </is>
      </c>
    </row>
    <row r="2">
      <c r="A2" t="inlineStr">
        <is>
          <t>PC40</t>
        </is>
      </c>
      <c r="B2" t="n">
        <v>2300</v>
      </c>
      <c r="C2" t="n">
        <v>0.39</v>
      </c>
      <c r="D2" t="n">
        <v>70</v>
      </c>
      <c r="E2" t="n">
        <v>1.45</v>
      </c>
      <c r="F2" t="n">
        <v>2.5</v>
      </c>
      <c r="G2" s="5" t="inlineStr">
        <is>
          <t>典型值，请按数据手册校核</t>
        </is>
      </c>
    </row>
    <row r="3">
      <c r="A3" t="inlineStr">
        <is>
          <t>PC44</t>
        </is>
      </c>
      <c r="B3" t="n">
        <v>2400</v>
      </c>
      <c r="C3" t="n">
        <v>0.39</v>
      </c>
      <c r="D3" t="n">
        <v>60</v>
      </c>
      <c r="E3" t="n">
        <v>1.45</v>
      </c>
      <c r="F3" t="n">
        <v>2.5</v>
      </c>
      <c r="G3" s="5" t="inlineStr">
        <is>
          <t>典型值，请按数据手册校核</t>
        </is>
      </c>
    </row>
    <row r="4">
      <c r="A4" t="inlineStr">
        <is>
          <t>PC95</t>
        </is>
      </c>
      <c r="B4" t="n">
        <v>3300</v>
      </c>
      <c r="C4" t="n">
        <v>0.4</v>
      </c>
      <c r="D4" t="n">
        <v>50</v>
      </c>
      <c r="E4" t="n">
        <v>1.5</v>
      </c>
      <c r="F4" t="n">
        <v>2.45</v>
      </c>
      <c r="G4" s="5" t="inlineStr">
        <is>
          <t>典型值，请按数据手册校核</t>
        </is>
      </c>
    </row>
    <row r="5">
      <c r="A5" t="inlineStr">
        <is>
          <t>N27</t>
        </is>
      </c>
      <c r="B5" t="n">
        <v>2000</v>
      </c>
      <c r="C5" t="n">
        <v>0.38</v>
      </c>
      <c r="D5" t="n">
        <v>110</v>
      </c>
      <c r="E5" t="n">
        <v>1.45</v>
      </c>
      <c r="F5" t="n">
        <v>2.45</v>
      </c>
      <c r="G5" s="5" t="inlineStr">
        <is>
          <t>典型值，请按数据手册校核</t>
        </is>
      </c>
    </row>
    <row r="6">
      <c r="A6" t="inlineStr">
        <is>
          <t>N87</t>
        </is>
      </c>
      <c r="B6" t="n">
        <v>2200</v>
      </c>
      <c r="C6" t="n">
        <v>0.39</v>
      </c>
      <c r="D6" t="n">
        <v>70</v>
      </c>
      <c r="E6" t="n">
        <v>1.45</v>
      </c>
      <c r="F6" t="n">
        <v>2.45</v>
      </c>
      <c r="G6" s="5" t="inlineStr">
        <is>
          <t>典型值，请按数据手册校核</t>
        </is>
      </c>
    </row>
    <row r="7">
      <c r="A7" t="inlineStr">
        <is>
          <t>N97</t>
        </is>
      </c>
      <c r="B7" t="n">
        <v>2300</v>
      </c>
      <c r="C7" t="n">
        <v>0.41</v>
      </c>
      <c r="D7" t="n">
        <v>45</v>
      </c>
      <c r="E7" t="n">
        <v>1.5</v>
      </c>
      <c r="F7" t="n">
        <v>2.4</v>
      </c>
      <c r="G7" s="5" t="inlineStr">
        <is>
          <t>典型值，请按数据手册校核</t>
        </is>
      </c>
    </row>
    <row r="8">
      <c r="A8" t="inlineStr">
        <is>
          <t>3C90</t>
        </is>
      </c>
      <c r="B8" t="n">
        <v>2300</v>
      </c>
      <c r="C8" t="n">
        <v>0.32</v>
      </c>
      <c r="D8" t="n">
        <v>80</v>
      </c>
      <c r="E8" t="n">
        <v>1.45</v>
      </c>
      <c r="F8" t="n">
        <v>2.4</v>
      </c>
      <c r="G8" s="5" t="inlineStr">
        <is>
          <t>典型值，请按数据手册校核</t>
        </is>
      </c>
    </row>
    <row r="9">
      <c r="A9" t="inlineStr">
        <is>
          <t>3C94</t>
        </is>
      </c>
      <c r="B9" t="n">
        <v>2300</v>
      </c>
      <c r="C9" t="n">
        <v>0.33</v>
      </c>
      <c r="D9" t="n">
        <v>65</v>
      </c>
      <c r="E9" t="n">
        <v>1.45</v>
      </c>
      <c r="F9" t="n">
        <v>2.4</v>
      </c>
      <c r="G9" s="5" t="inlineStr">
        <is>
          <t>典型值，请按数据手册校核</t>
        </is>
      </c>
    </row>
    <row r="10">
      <c r="A10" t="inlineStr">
        <is>
          <t>3F3</t>
        </is>
      </c>
      <c r="B10" t="n">
        <v>1800</v>
      </c>
      <c r="C10" t="n">
        <v>0.29</v>
      </c>
      <c r="D10" t="n">
        <v>40</v>
      </c>
      <c r="E10" t="n">
        <v>1.6</v>
      </c>
      <c r="F10" t="n">
        <v>2.25</v>
      </c>
      <c r="G10" s="5" t="inlineStr">
        <is>
          <t>典型值，请按数据手册校核</t>
        </is>
      </c>
    </row>
    <row r="11">
      <c r="A11" t="inlineStr">
        <is>
          <t>3F4</t>
        </is>
      </c>
      <c r="B11" t="n">
        <v>1600</v>
      </c>
      <c r="C11" t="n">
        <v>0.3</v>
      </c>
      <c r="D11" t="n">
        <v>30</v>
      </c>
      <c r="E11" t="n">
        <v>1.65</v>
      </c>
      <c r="F11" t="n">
        <v>2.2</v>
      </c>
      <c r="G11" s="5" t="inlineStr">
        <is>
          <t>典型值，请按数据手册校核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8" customWidth="1" min="4" max="4"/>
  </cols>
  <sheetData>
    <row r="1">
      <c r="A1" s="2" t="inlineStr">
        <is>
          <t>计算结果 / Calculations</t>
        </is>
      </c>
    </row>
    <row r="3">
      <c r="A3" s="3" t="inlineStr">
        <is>
          <t>拓扑 / Topology</t>
        </is>
      </c>
      <c r="B3" s="7">
        <f>'Inputs'!$B$3</f>
        <v/>
      </c>
      <c r="C3" s="5" t="inlineStr">
        <is>
          <t>下拉选择，全部公式按此分支</t>
        </is>
      </c>
      <c r="D3" s="8" t="inlineStr">
        <is>
          <t>B3</t>
        </is>
      </c>
    </row>
    <row r="4">
      <c r="A4" s="3" t="inlineStr">
        <is>
          <t>磁芯型号 / Core model</t>
        </is>
      </c>
      <c r="B4" s="7">
        <f>'Inputs'!$B$4</f>
        <v/>
      </c>
      <c r="C4" s="5" t="inlineStr">
        <is>
          <t>取自"磁芯库"，可按数据手册修改</t>
        </is>
      </c>
      <c r="D4" s="8" t="inlineStr">
        <is>
          <t>B4</t>
        </is>
      </c>
    </row>
    <row r="5">
      <c r="A5" s="3" t="inlineStr">
        <is>
          <t>材质 / Material</t>
        </is>
      </c>
      <c r="B5" s="7">
        <f>'Inputs'!$B$5</f>
        <v/>
      </c>
      <c r="C5" s="5" t="inlineStr">
        <is>
          <t>取自"材质"表</t>
        </is>
      </c>
      <c r="D5" s="8" t="inlineStr">
        <is>
          <t>B5</t>
        </is>
      </c>
    </row>
    <row r="6">
      <c r="A6" s="3" t="inlineStr">
        <is>
          <t>副边整流方式 (ct/bridge)</t>
        </is>
      </c>
      <c r="B6" s="7">
        <f>'Inputs'!$B$6</f>
        <v/>
      </c>
      <c r="C6" s="5" t="inlineStr">
        <is>
          <t>桥式/推挽中心抽头按 2 个副边绕组统计窗口</t>
        </is>
      </c>
      <c r="D6" s="8" t="inlineStr">
        <is>
          <t>B6</t>
        </is>
      </c>
    </row>
    <row r="7">
      <c r="A7" s="3" t="inlineStr">
        <is>
          <t>Vin_nom (V)（LLC 用，0=取中点）</t>
        </is>
      </c>
      <c r="B7" s="9">
        <f>'Inputs'!$B$7</f>
        <v/>
      </c>
      <c r="C7" s="5" t="inlineStr">
        <is>
          <t>LLC 额定输入</t>
        </is>
      </c>
      <c r="D7" s="8" t="inlineStr">
        <is>
          <t>B7</t>
        </is>
      </c>
    </row>
    <row r="8">
      <c r="A8" s="3" t="inlineStr">
        <is>
          <t>Ns 手动覆盖（0=按公式取整）</t>
        </is>
      </c>
      <c r="B8" s="9">
        <f>'Inputs'!$B$8</f>
        <v/>
      </c>
      <c r="C8" s="5" t="inlineStr">
        <is>
          <t>评审供应商方案时直接填其匝数</t>
        </is>
      </c>
      <c r="D8" s="8" t="inlineStr">
        <is>
          <t>B8</t>
        </is>
      </c>
    </row>
    <row r="9">
      <c r="A9" s="3" t="inlineStr">
        <is>
          <t>Vin_min (V)</t>
        </is>
      </c>
      <c r="B9" s="9">
        <f>'Inputs'!$B$9</f>
        <v/>
      </c>
      <c r="C9" s="5" t="inlineStr"/>
      <c r="D9" s="8" t="inlineStr">
        <is>
          <t>B9</t>
        </is>
      </c>
    </row>
    <row r="10">
      <c r="A10" s="3" t="inlineStr">
        <is>
          <t>Vin_max (V)</t>
        </is>
      </c>
      <c r="B10" s="9">
        <f>'Inputs'!$B$10</f>
        <v/>
      </c>
      <c r="C10" s="5" t="inlineStr"/>
      <c r="D10" s="8" t="inlineStr">
        <is>
          <t>B10</t>
        </is>
      </c>
    </row>
    <row r="11">
      <c r="A11" s="3" t="inlineStr">
        <is>
          <t>Vout (V)</t>
        </is>
      </c>
      <c r="B11" s="9">
        <f>'Inputs'!$B$11</f>
        <v/>
      </c>
      <c r="C11" s="5" t="inlineStr"/>
      <c r="D11" s="8" t="inlineStr">
        <is>
          <t>B11</t>
        </is>
      </c>
    </row>
    <row r="12">
      <c r="A12" s="3" t="inlineStr">
        <is>
          <t>Iout (A)</t>
        </is>
      </c>
      <c r="B12" s="9">
        <f>'Inputs'!$B$12</f>
        <v/>
      </c>
      <c r="C12" s="5" t="inlineStr"/>
      <c r="D12" s="8" t="inlineStr">
        <is>
          <t>B12</t>
        </is>
      </c>
    </row>
    <row r="13">
      <c r="A13" s="3" t="inlineStr">
        <is>
          <t>Vf (V)</t>
        </is>
      </c>
      <c r="B13" s="9">
        <f>'Inputs'!$B$13</f>
        <v/>
      </c>
      <c r="C13" s="5" t="inlineStr">
        <is>
          <t>输出整流压降</t>
        </is>
      </c>
      <c r="D13" s="8" t="inlineStr">
        <is>
          <t>B13</t>
        </is>
      </c>
    </row>
    <row r="14">
      <c r="A14" s="3" t="inlineStr">
        <is>
          <t>Fs (kHz)</t>
        </is>
      </c>
      <c r="B14" s="9">
        <f>'Inputs'!$B$14</f>
        <v/>
      </c>
      <c r="C14" s="5" t="inlineStr"/>
      <c r="D14" s="8" t="inlineStr">
        <is>
          <t>B14</t>
        </is>
      </c>
    </row>
    <row r="15">
      <c r="A15" s="3" t="inlineStr">
        <is>
          <t>eta</t>
        </is>
      </c>
      <c r="B15" s="9">
        <f>'Inputs'!$B$15</f>
        <v/>
      </c>
      <c r="C15" s="5" t="inlineStr"/>
      <c r="D15" s="8" t="inlineStr">
        <is>
          <t>B15</t>
        </is>
      </c>
    </row>
    <row r="16">
      <c r="A16" s="3" t="inlineStr">
        <is>
          <t>D_max（Vin_min 处）</t>
        </is>
      </c>
      <c r="B16" s="9">
        <f>'Inputs'!$B$16</f>
        <v/>
      </c>
      <c r="C16" s="5" t="inlineStr">
        <is>
          <t>反激=开关；正激=单管；桥式=每管</t>
        </is>
      </c>
      <c r="D16" s="8" t="inlineStr">
        <is>
          <t>B16</t>
        </is>
      </c>
    </row>
    <row r="17">
      <c r="A17" s="3" t="inlineStr">
        <is>
          <t>ΔB_target (T)</t>
        </is>
      </c>
      <c r="B17" s="9">
        <f>'Inputs'!$B$17</f>
        <v/>
      </c>
      <c r="C17" s="5" t="inlineStr">
        <is>
          <t>允许磁通摆幅（峰峰）</t>
        </is>
      </c>
      <c r="D17" s="8" t="inlineStr">
        <is>
          <t>B17</t>
        </is>
      </c>
    </row>
    <row r="18">
      <c r="A18" s="3" t="inlineStr">
        <is>
          <t>Bsat 降额系数</t>
        </is>
      </c>
      <c r="B18" s="9">
        <f>'Inputs'!$B$18</f>
        <v/>
      </c>
      <c r="C18" s="5" t="inlineStr"/>
      <c r="D18" s="8" t="inlineStr">
        <is>
          <t>B18</t>
        </is>
      </c>
    </row>
    <row r="19">
      <c r="A19" s="3" t="inlineStr">
        <is>
          <t>纹波比 K=ΔI/Ipk（反激类）</t>
        </is>
      </c>
      <c r="B19" s="9">
        <f>'Inputs'!$B$19</f>
        <v/>
      </c>
      <c r="C19" s="5" t="inlineStr">
        <is>
          <t>2=BCM 边界</t>
        </is>
      </c>
      <c r="D19" s="8" t="inlineStr">
        <is>
          <t>B19</t>
        </is>
      </c>
    </row>
    <row r="20">
      <c r="A20" s="3" t="inlineStr">
        <is>
          <t>输出电感纹波 ΔI_L (A)</t>
        </is>
      </c>
      <c r="B20" s="9">
        <f>'Inputs'!$B$20</f>
        <v/>
      </c>
      <c r="C20" s="5" t="inlineStr">
        <is>
          <t>正激/桥式，Vin_min 设计点</t>
        </is>
      </c>
      <c r="D20" s="8" t="inlineStr">
        <is>
          <t>B20</t>
        </is>
      </c>
    </row>
    <row r="21">
      <c r="A21" s="3" t="inlineStr">
        <is>
          <t>目标电流密度 J (A/mm²)</t>
        </is>
      </c>
      <c r="B21" s="9">
        <f>'Inputs'!$B$21</f>
        <v/>
      </c>
      <c r="C21" s="5" t="inlineStr"/>
      <c r="D21" s="8" t="inlineStr">
        <is>
          <t>B21</t>
        </is>
      </c>
    </row>
    <row r="22">
      <c r="A22" s="3" t="inlineStr">
        <is>
          <t>窗口利用率上限 Ku</t>
        </is>
      </c>
      <c r="B22" s="9">
        <f>'Inputs'!$B$22</f>
        <v/>
      </c>
      <c r="C22" s="5" t="inlineStr"/>
      <c r="D22" s="8" t="inlineStr">
        <is>
          <t>B22</t>
        </is>
      </c>
    </row>
    <row r="23">
      <c r="A23" s="3" t="inlineStr">
        <is>
          <t>绕线填充系数 k_pack</t>
        </is>
      </c>
      <c r="B23" s="9">
        <f>'Inputs'!$B$23</f>
        <v/>
      </c>
      <c r="C23" s="5" t="inlineStr">
        <is>
          <t>排绕≈1.1、乱绕1.2~1.4</t>
        </is>
      </c>
      <c r="D23" s="8" t="inlineStr">
        <is>
          <t>B23</t>
        </is>
      </c>
    </row>
    <row r="24">
      <c r="A24" s="3" t="inlineStr">
        <is>
          <t>热阻 Rth (K/W)</t>
        </is>
      </c>
      <c r="B24" s="9">
        <f>'Inputs'!$B$24</f>
        <v/>
      </c>
      <c r="C24" s="5" t="inlineStr"/>
      <c r="D24" s="8" t="inlineStr">
        <is>
          <t>B24</t>
        </is>
      </c>
    </row>
    <row r="25">
      <c r="A25" s="3" t="inlineStr">
        <is>
          <t>目标温升 ΔT (K)</t>
        </is>
      </c>
      <c r="B25" s="9">
        <f>'Inputs'!$B$25</f>
        <v/>
      </c>
      <c r="C25" s="5" t="inlineStr"/>
      <c r="D25" s="8" t="inlineStr">
        <is>
          <t>B25</t>
        </is>
      </c>
    </row>
    <row r="26">
      <c r="A26" s="3" t="inlineStr">
        <is>
          <t>环境温度 Tamb (°C)</t>
        </is>
      </c>
      <c r="B26" s="9">
        <f>'Inputs'!$B$26</f>
        <v/>
      </c>
      <c r="C26" s="5" t="inlineStr"/>
      <c r="D26" s="8" t="inlineStr">
        <is>
          <t>B26</t>
        </is>
      </c>
    </row>
    <row r="27">
      <c r="A27" s="3" t="inlineStr">
        <is>
          <t>高频电阻系数 F_R</t>
        </is>
      </c>
      <c r="B27" s="9">
        <f>'Inputs'!$B$27</f>
        <v/>
      </c>
      <c r="C27" s="5" t="inlineStr"/>
      <c r="D27" s="8" t="inlineStr">
        <is>
          <t>B27</t>
        </is>
      </c>
    </row>
    <row r="28">
      <c r="A28" s="3" t="inlineStr">
        <is>
          <t>输出纹波允许值 (% of Vout)</t>
        </is>
      </c>
      <c r="B28" s="9">
        <f>'Inputs'!$B$28</f>
        <v/>
      </c>
      <c r="C28" s="5" t="inlineStr"/>
      <c r="D28" s="8" t="inlineStr">
        <is>
          <t>B28</t>
        </is>
      </c>
    </row>
    <row r="29">
      <c r="A29" s="3" t="inlineStr">
        <is>
          <t>输出电容 ESR (Ω)</t>
        </is>
      </c>
      <c r="B29" s="9">
        <f>'Inputs'!$B$29</f>
        <v/>
      </c>
      <c r="C29" s="5" t="inlineStr"/>
      <c r="D29" s="8" t="inlineStr">
        <is>
          <t>B29</t>
        </is>
      </c>
    </row>
    <row r="30">
      <c r="A30" s="3" t="inlineStr">
        <is>
          <t>同步整流 Rds(on) (mΩ)</t>
        </is>
      </c>
      <c r="B30" s="9">
        <f>'Inputs'!$B$30</f>
        <v/>
      </c>
      <c r="C30" s="5" t="inlineStr"/>
      <c r="D30" s="8" t="inlineStr">
        <is>
          <t>B30</t>
        </is>
      </c>
    </row>
    <row r="31">
      <c r="A31" s="3" t="inlineStr">
        <is>
          <t>SR 体二极管压降 (V)</t>
        </is>
      </c>
      <c r="B31" s="9">
        <f>'Inputs'!$B$31</f>
        <v/>
      </c>
      <c r="C31" s="5" t="inlineStr"/>
      <c r="D31" s="8" t="inlineStr">
        <is>
          <t>B31</t>
        </is>
      </c>
    </row>
    <row r="32">
      <c r="A32" s="3" t="inlineStr">
        <is>
          <t>死区时间 t_dead (ns)</t>
        </is>
      </c>
      <c r="B32" s="9">
        <f>'Inputs'!$B$32</f>
        <v/>
      </c>
      <c r="C32" s="5" t="inlineStr"/>
      <c r="D32" s="8" t="inlineStr">
        <is>
          <t>B32</t>
        </is>
      </c>
    </row>
    <row r="33">
      <c r="A33" s="3" t="inlineStr">
        <is>
          <t>原边线径模式 (auto/mm)</t>
        </is>
      </c>
      <c r="B33" s="7">
        <f>'Inputs'!$B$33</f>
        <v/>
      </c>
      <c r="C33" s="5" t="inlineStr">
        <is>
          <t>auto 只自动取线径；股数用输入值</t>
        </is>
      </c>
      <c r="D33" s="8" t="inlineStr">
        <is>
          <t>B33</t>
        </is>
      </c>
    </row>
    <row r="34">
      <c r="A34" s="3" t="inlineStr">
        <is>
          <t>原边单股线径 (mm)</t>
        </is>
      </c>
      <c r="B34" s="9">
        <f>'Inputs'!$B$34</f>
        <v/>
      </c>
      <c r="C34" s="5" t="inlineStr">
        <is>
          <t>手动模式</t>
        </is>
      </c>
      <c r="D34" s="8" t="inlineStr">
        <is>
          <t>B34</t>
        </is>
      </c>
    </row>
    <row r="35">
      <c r="A35" s="3" t="inlineStr">
        <is>
          <t>原边股数</t>
        </is>
      </c>
      <c r="B35" s="9">
        <f>'Inputs'!$B$35</f>
        <v/>
      </c>
      <c r="C35" s="5" t="inlineStr"/>
      <c r="D35" s="8" t="inlineStr">
        <is>
          <t>B35</t>
        </is>
      </c>
    </row>
    <row r="36">
      <c r="A36" s="3" t="inlineStr">
        <is>
          <t>原边并联绕组数</t>
        </is>
      </c>
      <c r="B36" s="9">
        <f>'Inputs'!$B$36</f>
        <v/>
      </c>
      <c r="C36" s="5" t="inlineStr"/>
      <c r="D36" s="8" t="inlineStr">
        <is>
          <t>B36</t>
        </is>
      </c>
    </row>
    <row r="37">
      <c r="A37" s="3" t="inlineStr">
        <is>
          <t>副边线径模式 (auto/mm)</t>
        </is>
      </c>
      <c r="B37" s="7">
        <f>'Inputs'!$B$37</f>
        <v/>
      </c>
      <c r="C37" s="5" t="inlineStr"/>
      <c r="D37" s="8" t="inlineStr">
        <is>
          <t>B37</t>
        </is>
      </c>
    </row>
    <row r="38">
      <c r="A38" s="3" t="inlineStr">
        <is>
          <t>副边单股线径 (mm)</t>
        </is>
      </c>
      <c r="B38" s="9">
        <f>'Inputs'!$B$38</f>
        <v/>
      </c>
      <c r="C38" s="5" t="inlineStr"/>
      <c r="D38" s="8" t="inlineStr">
        <is>
          <t>B38</t>
        </is>
      </c>
    </row>
    <row r="39">
      <c r="A39" s="3" t="inlineStr">
        <is>
          <t>副边股数</t>
        </is>
      </c>
      <c r="B39" s="9">
        <f>'Inputs'!$B$39</f>
        <v/>
      </c>
      <c r="C39" s="5" t="inlineStr"/>
      <c r="D39" s="8" t="inlineStr">
        <is>
          <t>B39</t>
        </is>
      </c>
    </row>
    <row r="40">
      <c r="A40" s="3" t="inlineStr">
        <is>
          <t>副边并联绕组数</t>
        </is>
      </c>
      <c r="B40" s="9">
        <f>'Inputs'!$B$40</f>
        <v/>
      </c>
      <c r="C40" s="5" t="inlineStr"/>
      <c r="D40" s="8" t="inlineStr">
        <is>
          <t>B40</t>
        </is>
      </c>
    </row>
    <row r="41">
      <c r="A41" s="3" t="inlineStr">
        <is>
          <t>Fs (Hz)</t>
        </is>
      </c>
      <c r="B41" s="10">
        <f>$B$14*1000</f>
        <v/>
      </c>
      <c r="C41" s="5" t="inlineStr"/>
      <c r="D41" s="8" t="inlineStr">
        <is>
          <t>B41</t>
        </is>
      </c>
    </row>
    <row r="42">
      <c r="A42" s="3" t="inlineStr">
        <is>
          <t>Ae (mm²)</t>
        </is>
      </c>
      <c r="B42" s="11">
        <f>VLOOKUP($B$4,Cores!$A$2:$I$23,3,FALSE)</f>
        <v/>
      </c>
      <c r="C42" s="5" t="inlineStr"/>
      <c r="D42" s="8" t="inlineStr">
        <is>
          <t>B42</t>
        </is>
      </c>
    </row>
    <row r="43">
      <c r="A43" s="3" t="inlineStr">
        <is>
          <t>le (mm)</t>
        </is>
      </c>
      <c r="B43" s="11">
        <f>VLOOKUP($B$4,Cores!$A$2:$I$23,4,FALSE)</f>
        <v/>
      </c>
      <c r="C43" s="5" t="inlineStr"/>
      <c r="D43" s="8" t="inlineStr">
        <is>
          <t>B43</t>
        </is>
      </c>
    </row>
    <row r="44">
      <c r="A44" s="3" t="inlineStr">
        <is>
          <t>Aw (mm²)</t>
        </is>
      </c>
      <c r="B44" s="11">
        <f>VLOOKUP($B$4,Cores!$A$2:$I$23,5,FALSE)</f>
        <v/>
      </c>
      <c r="C44" s="5" t="inlineStr"/>
      <c r="D44" s="8" t="inlineStr">
        <is>
          <t>B44</t>
        </is>
      </c>
    </row>
    <row r="45">
      <c r="A45" s="3" t="inlineStr">
        <is>
          <t>MLT (mm)</t>
        </is>
      </c>
      <c r="B45" s="11">
        <f>VLOOKUP($B$4,Cores!$A$2:$I$23,6,FALSE)</f>
        <v/>
      </c>
      <c r="C45" s="5" t="inlineStr"/>
      <c r="D45" s="8" t="inlineStr">
        <is>
          <t>B45</t>
        </is>
      </c>
    </row>
    <row r="46">
      <c r="A46" s="3" t="inlineStr">
        <is>
          <t>实测 AL (nH/N²)</t>
        </is>
      </c>
      <c r="B46" s="10">
        <f>IFERROR(VLOOKUP($B$4,Cores!$A$2:$I$23,7,FALSE),0)</f>
        <v/>
      </c>
      <c r="C46" s="5" t="inlineStr">
        <is>
          <t>承认书/实测值优先于几何推算</t>
        </is>
      </c>
      <c r="D46" s="8" t="inlineStr">
        <is>
          <t>B46</t>
        </is>
      </c>
    </row>
    <row r="47">
      <c r="A47" s="3" t="inlineStr">
        <is>
          <t>µi</t>
        </is>
      </c>
      <c r="B47" s="10">
        <f>VLOOKUP($B$5,Materials!$A$2:$G$11,2,FALSE)</f>
        <v/>
      </c>
      <c r="C47" s="5" t="inlineStr"/>
      <c r="D47" s="8" t="inlineStr">
        <is>
          <t>B47</t>
        </is>
      </c>
    </row>
    <row r="48">
      <c r="A48" s="3" t="inlineStr">
        <is>
          <t>Bsat@100°C (T)</t>
        </is>
      </c>
      <c r="B48" s="12">
        <f>VLOOKUP($B$5,Materials!$A$2:$G$11,3,FALSE)</f>
        <v/>
      </c>
      <c r="C48" s="5" t="inlineStr"/>
      <c r="D48" s="8" t="inlineStr">
        <is>
          <t>B48</t>
        </is>
      </c>
    </row>
    <row r="49">
      <c r="A49" s="3" t="inlineStr">
        <is>
          <t>Pcv_ref (kW/m³)</t>
        </is>
      </c>
      <c r="B49" s="10">
        <f>VLOOKUP($B$5,Materials!$A$2:$G$11,4,FALSE)</f>
        <v/>
      </c>
      <c r="C49" s="5" t="inlineStr"/>
      <c r="D49" s="8" t="inlineStr">
        <is>
          <t>B49</t>
        </is>
      </c>
    </row>
    <row r="50">
      <c r="A50" s="3" t="inlineStr">
        <is>
          <t>α</t>
        </is>
      </c>
      <c r="B50" s="12">
        <f>VLOOKUP($B$5,Materials!$A$2:$G$11,5,FALSE)</f>
        <v/>
      </c>
      <c r="C50" s="5" t="inlineStr"/>
      <c r="D50" s="8" t="inlineStr">
        <is>
          <t>B50</t>
        </is>
      </c>
    </row>
    <row r="51">
      <c r="A51" s="3" t="inlineStr">
        <is>
          <t>β</t>
        </is>
      </c>
      <c r="B51" s="12">
        <f>VLOOKUP($B$5,Materials!$A$2:$G$11,6,FALSE)</f>
        <v/>
      </c>
      <c r="C51" s="5" t="inlineStr"/>
      <c r="D51" s="8" t="inlineStr">
        <is>
          <t>B51</t>
        </is>
      </c>
    </row>
    <row r="52">
      <c r="A52" s="3" t="inlineStr">
        <is>
          <t>反激类?</t>
        </is>
      </c>
      <c r="B52" s="13">
        <f>OR($B$3="Flyback",$B$3="Active Clamp Flyback")</f>
        <v/>
      </c>
      <c r="C52" s="5" t="inlineStr"/>
      <c r="D52" s="8" t="inlineStr">
        <is>
          <t>B52</t>
        </is>
      </c>
    </row>
    <row r="53">
      <c r="A53" s="3" t="inlineStr">
        <is>
          <t>正激?</t>
        </is>
      </c>
      <c r="B53" s="13">
        <f>$B$3="Forward"</f>
        <v/>
      </c>
      <c r="C53" s="5" t="inlineStr"/>
      <c r="D53" s="8" t="inlineStr">
        <is>
          <t>B53</t>
        </is>
      </c>
    </row>
    <row r="54">
      <c r="A54" s="3" t="inlineStr">
        <is>
          <t>推挽?</t>
        </is>
      </c>
      <c r="B54" s="13">
        <f>$B$3="Push-Pull"</f>
        <v/>
      </c>
      <c r="C54" s="5" t="inlineStr"/>
      <c r="D54" s="8" t="inlineStr">
        <is>
          <t>B54</t>
        </is>
      </c>
    </row>
    <row r="55">
      <c r="A55" s="3" t="inlineStr">
        <is>
          <t>半桥?</t>
        </is>
      </c>
      <c r="B55" s="13">
        <f>$B$3="Half-Bridge"</f>
        <v/>
      </c>
      <c r="C55" s="5" t="inlineStr"/>
      <c r="D55" s="8" t="inlineStr">
        <is>
          <t>B55</t>
        </is>
      </c>
    </row>
    <row r="56">
      <c r="A56" s="3" t="inlineStr">
        <is>
          <t>全桥?</t>
        </is>
      </c>
      <c r="B56" s="13">
        <f>$B$3="Full-Bridge"</f>
        <v/>
      </c>
      <c r="C56" s="5" t="inlineStr"/>
      <c r="D56" s="8" t="inlineStr">
        <is>
          <t>B56</t>
        </is>
      </c>
    </row>
    <row r="57">
      <c r="A57" s="3" t="inlineStr">
        <is>
          <t>LLC?</t>
        </is>
      </c>
      <c r="B57" s="13">
        <f>$B$3="LLC Resonant"</f>
        <v/>
      </c>
      <c r="C57" s="5" t="inlineStr"/>
      <c r="D57" s="8" t="inlineStr">
        <is>
          <t>B57</t>
        </is>
      </c>
    </row>
    <row r="58">
      <c r="A58" s="3" t="inlineStr">
        <is>
          <t>桥式(推挽/半桥/全桥)?</t>
        </is>
      </c>
      <c r="B58" s="13">
        <f>OR($B$54,$B$55,$B$56)</f>
        <v/>
      </c>
      <c r="C58" s="5" t="inlineStr"/>
      <c r="D58" s="8" t="inlineStr">
        <is>
          <t>B58</t>
        </is>
      </c>
    </row>
    <row r="59">
      <c r="A59" s="3" t="inlineStr">
        <is>
          <t>有输出电感?</t>
        </is>
      </c>
      <c r="B59" s="13">
        <f>OR($B$53,$B$58)</f>
        <v/>
      </c>
      <c r="C59" s="5" t="inlineStr"/>
      <c r="D59" s="8" t="inlineStr">
        <is>
          <t>B59</t>
        </is>
      </c>
    </row>
    <row r="60">
      <c r="A60" s="3" t="inlineStr">
        <is>
          <t>g（Vo 方程 Vin 倍数）</t>
        </is>
      </c>
      <c r="B60" s="10">
        <f>IF(OR($B$54,$B$56),2,IF($B$55,1,0))</f>
        <v/>
      </c>
      <c r="C60" s="5" t="inlineStr"/>
      <c r="D60" s="8" t="inlineStr">
        <is>
          <t>B60</t>
        </is>
      </c>
    </row>
    <row r="61">
      <c r="A61" s="3" t="inlineStr">
        <is>
          <t>k_v（折到整个 Np）</t>
        </is>
      </c>
      <c r="B61" s="11">
        <f>IF(OR($B$54,$B$56),2,IF(OR($B$55,$B$57),0.5,1))</f>
        <v/>
      </c>
      <c r="C61" s="5" t="inlineStr"/>
      <c r="D61" s="8" t="inlineStr">
        <is>
          <t>B61</t>
        </is>
      </c>
    </row>
    <row r="62">
      <c r="A62" s="3" t="inlineStr">
        <is>
          <t>拓扑占空比上限</t>
        </is>
      </c>
      <c r="B62" s="12">
        <f>IF($B$52,0.6,IF($B$53,0.5,IF($B$57,0.5,0.48)))</f>
        <v/>
      </c>
      <c r="C62" s="5" t="inlineStr"/>
      <c r="D62" s="8" t="inlineStr">
        <is>
          <t>B62</t>
        </is>
      </c>
    </row>
    <row r="63">
      <c r="A63" s="3" t="inlineStr">
        <is>
          <t>D_max（钳位后）</t>
        </is>
      </c>
      <c r="B63" s="14">
        <f>MIN($B$16,$B$62)</f>
        <v/>
      </c>
      <c r="C63" s="5" t="inlineStr"/>
      <c r="D63" s="8" t="inlineStr">
        <is>
          <t>B63</t>
        </is>
      </c>
    </row>
    <row r="64">
      <c r="A64" s="3" t="inlineStr">
        <is>
          <t>Po (W)</t>
        </is>
      </c>
      <c r="B64" s="12">
        <f>$B$11*$B$12</f>
        <v/>
      </c>
      <c r="C64" s="5" t="inlineStr"/>
      <c r="D64" s="8" t="inlineStr">
        <is>
          <t>B64</t>
        </is>
      </c>
    </row>
    <row r="65">
      <c r="A65" s="3" t="inlineStr">
        <is>
          <t>Pin (W)</t>
        </is>
      </c>
      <c r="B65" s="12">
        <f>$B$64/$B$15</f>
        <v/>
      </c>
      <c r="C65" s="5" t="inlineStr"/>
      <c r="D65" s="8" t="inlineStr">
        <is>
          <t>B65</t>
        </is>
      </c>
    </row>
    <row r="66">
      <c r="A66" s="3" t="inlineStr">
        <is>
          <t>Vo = Vout+Vf (V)</t>
        </is>
      </c>
      <c r="B66" s="12">
        <f>$B$11+$B$13</f>
        <v/>
      </c>
      <c r="C66" s="5" t="inlineStr"/>
      <c r="D66" s="8" t="inlineStr">
        <is>
          <t>B66</t>
        </is>
      </c>
    </row>
    <row r="67">
      <c r="A67" s="3" t="inlineStr">
        <is>
          <t>Vin_nom（LLC 用）</t>
        </is>
      </c>
      <c r="B67" s="11">
        <f>IF($B$7&gt;0,$B$7,($B$9+$B$10)/2)</f>
        <v/>
      </c>
      <c r="C67" s="5" t="inlineStr"/>
      <c r="D67" s="8" t="inlineStr">
        <is>
          <t>B67</t>
        </is>
      </c>
    </row>
    <row r="68">
      <c r="A68" s="3" t="inlineStr">
        <is>
          <t>目标变比 n=Np/Ns</t>
        </is>
      </c>
      <c r="B68" s="14">
        <f>IF($B$52,$B$9*$B$63/((1-$B$63)*$B$66),IF($B$53,$B$9*$B$63/$B$66,IF($B$58,$B$60*$B$9*$B$63/$B$66,$B$67/(2*$B$66))))</f>
        <v/>
      </c>
      <c r="C68" s="5" t="inlineStr"/>
      <c r="D68" s="8" t="inlineStr">
        <is>
          <t>B68</t>
        </is>
      </c>
    </row>
    <row r="69">
      <c r="A69" s="3" t="inlineStr">
        <is>
          <t>D_max 点占空比(Vin_min,目标比)</t>
        </is>
      </c>
      <c r="B69" s="14">
        <f>IF($B$52,$B$68*$B$66/($B$9+$B$68*$B$66),IF($B$53,$B$68*$B$66/$B$9,IF($B$58,$B$68*$B$66/($B$60*$B$9),0.5)))</f>
        <v/>
      </c>
      <c r="C69" s="5" t="inlineStr"/>
      <c r="D69" s="8" t="inlineStr">
        <is>
          <t>B69</t>
        </is>
      </c>
    </row>
    <row r="70">
      <c r="A70" s="3" t="inlineStr">
        <is>
          <t>D@Vin_max(目标比)</t>
        </is>
      </c>
      <c r="B70" s="14">
        <f>IF($B$52,$B$68*$B$66/($B$10+$B$68*$B$66),IF($B$53,$B$68*$B$66/$B$10,IF($B$58,$B$68*$B$66/($B$60*$B$10),0.5)))</f>
        <v/>
      </c>
      <c r="C70" s="5" t="inlineStr"/>
      <c r="D70" s="8" t="inlineStr">
        <is>
          <t>B70</t>
        </is>
      </c>
    </row>
    <row r="71">
      <c r="A71" s="3" t="inlineStr">
        <is>
          <t>V·t@Vin_min (V·s)</t>
        </is>
      </c>
      <c r="B71" s="15">
        <f>$B$61*$B$9*$B$69/$B$41</f>
        <v/>
      </c>
      <c r="C71" s="5" t="inlineStr"/>
      <c r="D71" s="8" t="inlineStr">
        <is>
          <t>B71</t>
        </is>
      </c>
    </row>
    <row r="72">
      <c r="A72" s="3" t="inlineStr">
        <is>
          <t>V·t@Vin_max (V·s)</t>
        </is>
      </c>
      <c r="B72" s="15">
        <f>$B$61*$B$10*$B$70/$B$41</f>
        <v/>
      </c>
      <c r="C72" s="5" t="inlineStr"/>
      <c r="D72" s="8" t="inlineStr">
        <is>
          <t>B72</t>
        </is>
      </c>
    </row>
    <row r="73">
      <c r="A73" s="3" t="inlineStr">
        <is>
          <t>V·t 最恶劣 (V·s)</t>
        </is>
      </c>
      <c r="B73" s="15">
        <f>MAX($B$71,$B$72)</f>
        <v/>
      </c>
      <c r="C73" s="5" t="inlineStr"/>
      <c r="D73" s="8" t="inlineStr">
        <is>
          <t>B73</t>
        </is>
      </c>
    </row>
    <row r="74">
      <c r="A74" s="3" t="inlineStr">
        <is>
          <t>Ae (m²)</t>
        </is>
      </c>
      <c r="B74" s="15">
        <f>$B$42/1000000</f>
        <v/>
      </c>
      <c r="C74" s="5" t="inlineStr"/>
      <c r="D74" s="8" t="inlineStr">
        <is>
          <t>B74</t>
        </is>
      </c>
    </row>
    <row r="75">
      <c r="A75" s="3" t="inlineStr">
        <is>
          <t>磁通决定 Np 下限</t>
        </is>
      </c>
      <c r="B75" s="10">
        <f>MAX(1,CEILING($B$73/($B$74*$B$17),1))</f>
        <v/>
      </c>
      <c r="C75" s="5" t="inlineStr"/>
      <c r="D75" s="8" t="inlineStr">
        <is>
          <t>B75</t>
        </is>
      </c>
    </row>
    <row r="76">
      <c r="A76" s="3" t="inlineStr">
        <is>
          <t>原边峰值 Ipk (A)</t>
        </is>
      </c>
      <c r="B76" s="16">
        <f>IF($B$52,IF($B$19&gt;=2,2*$B$65/($B$9*$B$63),($B$65/$B$9/$B$63)/(1-$B$19/2)),IF($B$57,$B$65/(0.5*$B$67)*1.414,($B$12+$B$20/2)/$B$68))</f>
        <v/>
      </c>
      <c r="C76" s="5" t="inlineStr"/>
      <c r="D76" s="8" t="inlineStr">
        <is>
          <t>B76</t>
        </is>
      </c>
    </row>
    <row r="77">
      <c r="A77" s="3" t="inlineStr">
        <is>
          <t>Lp (µH)（反激）</t>
        </is>
      </c>
      <c r="B77" s="12">
        <f>IF($B$52,1000000*($B$9*$B$63/($B$19*$B$76*$B$41)),0)</f>
        <v/>
      </c>
      <c r="C77" s="5" t="inlineStr">
        <is>
          <t>按纹波比反算</t>
        </is>
      </c>
      <c r="D77" s="8" t="inlineStr">
        <is>
          <t>B77</t>
        </is>
      </c>
    </row>
    <row r="78">
      <c r="A78" s="3" t="inlineStr">
        <is>
          <t>ΔI_pri (A)（反激）</t>
        </is>
      </c>
      <c r="B78" s="16">
        <f>IF($B$52,$B$19*$B$76,0)</f>
        <v/>
      </c>
      <c r="C78" s="5" t="inlineStr"/>
      <c r="D78" s="8" t="inlineStr">
        <is>
          <t>B78</t>
        </is>
      </c>
    </row>
    <row r="79">
      <c r="A79" s="3" t="inlineStr">
        <is>
          <t>谷值 (A)（反激）</t>
        </is>
      </c>
      <c r="B79" s="16">
        <f>IF($B$52,MAX($B$76-$B$78,0),0)</f>
        <v/>
      </c>
      <c r="C79" s="5" t="inlineStr"/>
      <c r="D79" s="8" t="inlineStr">
        <is>
          <t>B79</t>
        </is>
      </c>
    </row>
    <row r="80">
      <c r="A80" s="3" t="inlineStr">
        <is>
          <t>ΔI_pri@实际占空比 (A)</t>
        </is>
      </c>
      <c r="B80" s="16">
        <f>IF($B$52,$B$9*$B$88/(($B$77/1000000)*$B$41),0)</f>
        <v/>
      </c>
      <c r="C80" s="5" t="inlineStr"/>
      <c r="D80" s="8" t="inlineStr">
        <is>
          <t>B80</t>
        </is>
      </c>
    </row>
    <row r="81">
      <c r="A81" s="3" t="inlineStr">
        <is>
          <t>Ipk@实际占空比 (A)</t>
        </is>
      </c>
      <c r="B81" s="16">
        <f>IF($B$52,$B$65/($B$9*$B$88)+$B$80/2,$B$76)</f>
        <v/>
      </c>
      <c r="C81" s="5" t="inlineStr">
        <is>
          <t>与引擎同一约定</t>
        </is>
      </c>
      <c r="D81" s="8" t="inlineStr">
        <is>
          <t>B81</t>
        </is>
      </c>
    </row>
    <row r="82">
      <c r="A82" s="3" t="inlineStr">
        <is>
          <t>谷值@实际占空比 (A)</t>
        </is>
      </c>
      <c r="B82" s="16">
        <f>IF($B$52,$B$65/($B$9*$B$88)-$B$80/2,0)</f>
        <v/>
      </c>
      <c r="C82" s="5" t="inlineStr"/>
      <c r="D82" s="8" t="inlineStr">
        <is>
          <t>B82</t>
        </is>
      </c>
    </row>
    <row r="83">
      <c r="A83" s="3" t="inlineStr">
        <is>
          <t>不饱和决定 Np 下限</t>
        </is>
      </c>
      <c r="B83" s="10">
        <f>IF($B$52,CEILING(($B$77/1000000)*$B$76/($B$74*$B$48*$B$18),1),0)</f>
        <v/>
      </c>
      <c r="C83" s="5" t="inlineStr"/>
      <c r="D83" s="8" t="inlineStr">
        <is>
          <t>B83</t>
        </is>
      </c>
    </row>
    <row r="84">
      <c r="A84" s="3" t="inlineStr">
        <is>
          <t>Np (匝)</t>
        </is>
      </c>
      <c r="B84" s="10">
        <f>MAX(1,$B$75,$B$83)</f>
        <v/>
      </c>
      <c r="C84" s="5" t="inlineStr">
        <is>
          <t>磁通与不饱和下限取大者</t>
        </is>
      </c>
      <c r="D84" s="8" t="inlineStr">
        <is>
          <t>B84</t>
        </is>
      </c>
    </row>
    <row r="85">
      <c r="A85" s="3" t="inlineStr">
        <is>
          <t>Ns 自动取整</t>
        </is>
      </c>
      <c r="B85" s="10">
        <f>MAX(1,ROUND($B$84/$B$68,0))</f>
        <v/>
      </c>
      <c r="C85" s="5" t="inlineStr"/>
      <c r="D85" s="8" t="inlineStr">
        <is>
          <t>B85</t>
        </is>
      </c>
    </row>
    <row r="86">
      <c r="A86" s="3" t="inlineStr">
        <is>
          <t>Ns (匝)</t>
        </is>
      </c>
      <c r="B86" s="10">
        <f>IF($B$8&gt;0,$B$8,$B$85)</f>
        <v/>
      </c>
      <c r="C86" s="5" t="inlineStr">
        <is>
          <t>可手动覆盖（评审供应商方案）</t>
        </is>
      </c>
      <c r="D86" s="8" t="inlineStr">
        <is>
          <t>B86</t>
        </is>
      </c>
    </row>
    <row r="87">
      <c r="A87" s="3" t="inlineStr">
        <is>
          <t>实际变比 n=Np/Ns</t>
        </is>
      </c>
      <c r="B87" s="14">
        <f>$B$84/$B$86</f>
        <v/>
      </c>
      <c r="C87" s="5" t="inlineStr"/>
      <c r="D87" s="8" t="inlineStr">
        <is>
          <t>B87</t>
        </is>
      </c>
    </row>
    <row r="88">
      <c r="A88" s="3" t="inlineStr">
        <is>
          <t>D@Vin_min（实际比）</t>
        </is>
      </c>
      <c r="B88" s="14">
        <f>IF($B$52,$B$87*$B$66/($B$9+$B$87*$B$66),IF($B$53,$B$87*$B$66/$B$9,IF($B$58,$B$87*$B$66/($B$60*$B$9),0.5)))</f>
        <v/>
      </c>
      <c r="C88" s="5" t="inlineStr"/>
      <c r="D88" s="8" t="inlineStr">
        <is>
          <t>B88</t>
        </is>
      </c>
    </row>
    <row r="89">
      <c r="A89" s="3" t="inlineStr">
        <is>
          <t>D@Vin_max（实际比）</t>
        </is>
      </c>
      <c r="B89" s="14">
        <f>IF($B$52,$B$87*$B$66/($B$10+$B$87*$B$66),IF($B$53,$B$87*$B$66/$B$10,IF($B$58,$B$87*$B$66/($B$60*$B$10),0.5)))</f>
        <v/>
      </c>
      <c r="C89" s="5" t="inlineStr"/>
      <c r="D89" s="8" t="inlineStr">
        <is>
          <t>B89</t>
        </is>
      </c>
    </row>
    <row r="90">
      <c r="A90" s="3" t="inlineStr">
        <is>
          <t>V·t（实际比，Vin_min 端）</t>
        </is>
      </c>
      <c r="B90" s="15">
        <f>$B$61*$B$9*$B$88/$B$41</f>
        <v/>
      </c>
      <c r="C90" s="5" t="inlineStr"/>
      <c r="D90" s="8" t="inlineStr">
        <is>
          <t>B90</t>
        </is>
      </c>
    </row>
    <row r="91">
      <c r="A91" s="3" t="inlineStr">
        <is>
          <t>V·t（实际比，Vin_max 端）</t>
        </is>
      </c>
      <c r="B91" s="15">
        <f>$B$61*$B$10*$B$89/$B$41</f>
        <v/>
      </c>
      <c r="C91" s="5" t="inlineStr"/>
      <c r="D91" s="8" t="inlineStr">
        <is>
          <t>B91</t>
        </is>
      </c>
    </row>
    <row r="92">
      <c r="A92" s="3" t="inlineStr">
        <is>
          <t>ΔB_pp (T)</t>
        </is>
      </c>
      <c r="B92" s="14">
        <f>MAX($B$90,$B$91)/($B$84*$B$74)</f>
        <v/>
      </c>
      <c r="C92" s="5" t="inlineStr">
        <is>
          <t>取两端较恶劣者（反激摆动最大在 Vin_max）</t>
        </is>
      </c>
      <c r="D92" s="8" t="inlineStr">
        <is>
          <t>B92</t>
        </is>
      </c>
    </row>
    <row r="93">
      <c r="A93" s="3" t="inlineStr">
        <is>
          <t>允许峰值 Bsat·降额 (T)</t>
        </is>
      </c>
      <c r="B93" s="16">
        <f>$B$48*$B$18</f>
        <v/>
      </c>
      <c r="C93" s="5" t="inlineStr"/>
      <c r="D93" s="8" t="inlineStr">
        <is>
          <t>B93</t>
        </is>
      </c>
    </row>
    <row r="94">
      <c r="A94" s="3" t="inlineStr">
        <is>
          <t>AL (nH/N²)</t>
        </is>
      </c>
      <c r="B94" s="10">
        <f>IF($B$46&gt;0,$B$46,1000000*4*PI()*0.0000001*$B$47*$B$74/($B$43/1000))</f>
        <v/>
      </c>
      <c r="C94" s="5" t="inlineStr">
        <is>
          <t>实测优先，否则 µ0·µi·Ae/le</t>
        </is>
      </c>
      <c r="D94" s="8" t="inlineStr">
        <is>
          <t>B94</t>
        </is>
      </c>
    </row>
    <row r="95">
      <c r="A95" s="3" t="inlineStr">
        <is>
          <t>Lm (µH) = AL·Np²</t>
        </is>
      </c>
      <c r="B95" s="12">
        <f>$B$94/1000000000*$B$84*$B$84*1000000</f>
        <v/>
      </c>
      <c r="C95" s="5" t="inlineStr"/>
      <c r="D95" s="8" t="inlineStr">
        <is>
          <t>B95</t>
        </is>
      </c>
    </row>
    <row r="96">
      <c r="A96" s="3" t="inlineStr">
        <is>
          <t>ΔI_m (A) = V·t/Lm</t>
        </is>
      </c>
      <c r="B96" s="14">
        <f>$B$73/($B$95/1000000)</f>
        <v/>
      </c>
      <c r="C96" s="5" t="inlineStr"/>
      <c r="D96" s="8" t="inlineStr">
        <is>
          <t>B96</t>
        </is>
      </c>
    </row>
    <row r="97">
      <c r="A97" s="3" t="inlineStr">
        <is>
          <t>Bpk (T)</t>
        </is>
      </c>
      <c r="B97" s="14">
        <f>IF($B$52,$B$77/1000000*$B$81/($B$84*$B$74),IF(OR($B$58,$B$57),$B$92/2,$B$92))</f>
        <v/>
      </c>
      <c r="C97" s="5" t="inlineStr">
        <is>
          <t>单极性 Bpk=ΔB；双极性减半；反激 Lp·Ipk/(Np·Ae)</t>
        </is>
      </c>
      <c r="D97" s="8" t="inlineStr">
        <is>
          <t>B97</t>
        </is>
      </c>
    </row>
    <row r="98">
      <c r="A98" s="3" t="inlineStr">
        <is>
          <t>原边峰值(含励磁) (A)</t>
        </is>
      </c>
      <c r="B98" s="16">
        <f>IF($B$52,$B$76,$B$76+$B$96/2)</f>
        <v/>
      </c>
      <c r="C98" s="5" t="inlineStr"/>
      <c r="D98" s="8" t="inlineStr">
        <is>
          <t>B98</t>
        </is>
      </c>
    </row>
    <row r="99">
      <c r="A99" s="3" t="inlineStr">
        <is>
          <t>副边电流下沿 (A)</t>
        </is>
      </c>
      <c r="B99" s="16">
        <f>$B$12-$B$20/2</f>
        <v/>
      </c>
      <c r="C99" s="5" t="inlineStr"/>
      <c r="D99" s="8" t="inlineStr">
        <is>
          <t>B99</t>
        </is>
      </c>
    </row>
    <row r="100">
      <c r="A100" s="3" t="inlineStr">
        <is>
          <t>副边电流上沿 (A)</t>
        </is>
      </c>
      <c r="B100" s="16">
        <f>$B$12+$B$20/2</f>
        <v/>
      </c>
      <c r="C100" s="5" t="inlineStr"/>
      <c r="D100" s="8" t="inlineStr">
        <is>
          <t>B100</t>
        </is>
      </c>
    </row>
    <row r="101">
      <c r="A101" s="3" t="inlineStr">
        <is>
          <t>原边电流下沿 (A)</t>
        </is>
      </c>
      <c r="B101" s="16">
        <f>IF($B$52,0,$B$99/$B$87)</f>
        <v/>
      </c>
      <c r="C101" s="5" t="inlineStr"/>
      <c r="D101" s="8" t="inlineStr">
        <is>
          <t>B101</t>
        </is>
      </c>
    </row>
    <row r="102">
      <c r="A102" s="3" t="inlineStr">
        <is>
          <t>原边电流上沿 (A)</t>
        </is>
      </c>
      <c r="B102" s="16">
        <f>IF($B$52,0,$B$100/$B$87)</f>
        <v/>
      </c>
      <c r="C102" s="5" t="inlineStr"/>
      <c r="D102" s="8" t="inlineStr">
        <is>
          <t>B102</t>
        </is>
      </c>
    </row>
    <row r="103">
      <c r="A103" s="3" t="inlineStr">
        <is>
          <t>推挽半绕组电流倍数</t>
        </is>
      </c>
      <c r="B103" s="10">
        <f>IF($B$54,2,1)</f>
        <v/>
      </c>
      <c r="C103" s="5" t="inlineStr">
        <is>
          <t>推挽每个半绕组电流为 2·Iout/n</t>
        </is>
      </c>
      <c r="D103" s="8" t="inlineStr">
        <is>
          <t>B103</t>
        </is>
      </c>
    </row>
    <row r="104">
      <c r="A104" s="3" t="inlineStr">
        <is>
          <t>原边绕组下沿 (A)</t>
        </is>
      </c>
      <c r="B104" s="16">
        <f>$B$103*$B$101</f>
        <v/>
      </c>
      <c r="C104" s="5" t="inlineStr"/>
      <c r="D104" s="8" t="inlineStr">
        <is>
          <t>B104</t>
        </is>
      </c>
    </row>
    <row r="105">
      <c r="A105" s="3" t="inlineStr">
        <is>
          <t>原边绕组上沿 (A)</t>
        </is>
      </c>
      <c r="B105" s="16">
        <f>$B$103*$B$102</f>
        <v/>
      </c>
      <c r="C105" s="5" t="inlineStr"/>
      <c r="D105" s="8" t="inlineStr">
        <is>
          <t>B105</t>
        </is>
      </c>
    </row>
    <row r="106">
      <c r="A106" s="3" t="inlineStr">
        <is>
          <t>桥式原边导通占比</t>
        </is>
      </c>
      <c r="B106" s="14">
        <f>IF($B$54,$B$88,2*$B$88)</f>
        <v/>
      </c>
      <c r="C106" s="5" t="inlineStr">
        <is>
          <t>推挽每半绕组一周期导通一次</t>
        </is>
      </c>
      <c r="D106" s="8" t="inlineStr">
        <is>
          <t>B106</t>
        </is>
      </c>
    </row>
    <row r="107">
      <c r="A107" s="3" t="inlineStr">
        <is>
          <t>副边导通占比</t>
        </is>
      </c>
      <c r="B107" s="14">
        <f>IF($B$58,IF($B$6="ct",$B$88,2*$B$88),$B$88)</f>
        <v/>
      </c>
      <c r="C107" s="5" t="inlineStr"/>
      <c r="D107" s="8" t="inlineStr">
        <is>
          <t>B107</t>
        </is>
      </c>
    </row>
    <row r="108">
      <c r="A108" s="3" t="inlineStr">
        <is>
          <t>原边 I_rms (A)</t>
        </is>
      </c>
      <c r="B108" s="16">
        <f>IF($B$52,SQRT($B$88*($B$81^2+$B$81*$B$82+$B$82^2)/3),IF($B$53,SQRT($B$88*($B$101^2+$B$101*$B$102+$B$102^2)/3+$B$88*$B$96^2/12),IF($B$58,SQRT($B$106*($B$104^2+$B$104*$B$105+$B$105^2)/3+$B$96^2*$B$106/12),$B$65/(0.5*$B$67))))</f>
        <v/>
      </c>
      <c r="C108" s="5" t="inlineStr"/>
      <c r="D108" s="8" t="inlineStr">
        <is>
          <t>B108</t>
        </is>
      </c>
    </row>
    <row r="109">
      <c r="A109" s="3" t="inlineStr">
        <is>
          <t>副边峰值 Is_pk (A)</t>
        </is>
      </c>
      <c r="B109" s="16">
        <f>IF($B$52,$B$87*$B$81,IF($B$57,1.5708*$B$12,$B$12+$B$20/2))</f>
        <v/>
      </c>
      <c r="C109" s="5" t="inlineStr"/>
      <c r="D109" s="8" t="inlineStr">
        <is>
          <t>B109</t>
        </is>
      </c>
    </row>
    <row r="110">
      <c r="A110" s="3" t="inlineStr">
        <is>
          <t>副边 I_rms (A)</t>
        </is>
      </c>
      <c r="B110" s="16">
        <f>IF($B$52,$B$87*SQRT((1-$B$88)*($B$81^2+$B$81*$B$82+$B$82^2)/3),IF($B$57,1.1107*$B$12,SQRT(IF($B$59,$B$107*($B$99^2+$B$99*$B$100+$B$100^2)/3,($B$99^2+$B$99*$B$100+$B$100^2)/3))))</f>
        <v/>
      </c>
      <c r="C110" s="5" t="inlineStr"/>
      <c r="D110" s="8" t="inlineStr">
        <is>
          <t>B110</t>
        </is>
      </c>
    </row>
    <row r="111">
      <c r="A111" s="3" t="inlineStr">
        <is>
          <t>副边导通期平均 (A)</t>
        </is>
      </c>
      <c r="B111" s="16">
        <f>IF($B$52,$B$65/$B$66,IF($B$53,$B$88*$B$12,$B$12))</f>
        <v/>
      </c>
      <c r="C111" s="5" t="inlineStr"/>
      <c r="D111" s="8" t="inlineStr">
        <is>
          <t>B111</t>
        </is>
      </c>
    </row>
    <row r="112">
      <c r="A112" s="3" t="inlineStr">
        <is>
          <t>副边绕组数</t>
        </is>
      </c>
      <c r="B112" s="10">
        <f>IF(AND($B$58,$B$6="ct"),2,1)</f>
        <v/>
      </c>
      <c r="C112" s="5" t="inlineStr"/>
      <c r="D112" s="8" t="inlineStr">
        <is>
          <t>B112</t>
        </is>
      </c>
    </row>
    <row r="113">
      <c r="A113" s="3" t="inlineStr">
        <is>
          <t>原边单股线径 (mm)</t>
        </is>
      </c>
      <c r="B113" s="16">
        <f>IF($B$33="auto",CEILING(SQRT(4*($B$108/$B$21)/($B$35*$B$36)/PI()),0.05),$B$34)</f>
        <v/>
      </c>
      <c r="C113" s="5" t="inlineStr"/>
      <c r="D113" s="8" t="inlineStr">
        <is>
          <t>B113</t>
        </is>
      </c>
    </row>
    <row r="114">
      <c r="A114" s="3" t="inlineStr">
        <is>
          <t>副边单股线径 (mm)</t>
        </is>
      </c>
      <c r="B114" s="16">
        <f>IF($B$37="auto",CEILING(SQRT(4*($B$110/$B$21)/($B$39*$B$40)/PI()),0.05),$B$38)</f>
        <v/>
      </c>
      <c r="C114" s="5" t="inlineStr"/>
      <c r="D114" s="8" t="inlineStr">
        <is>
          <t>B114</t>
        </is>
      </c>
    </row>
    <row r="115">
      <c r="A115" s="3" t="inlineStr">
        <is>
          <t>原边铜面积/匝 (mm²)</t>
        </is>
      </c>
      <c r="B115" s="14">
        <f>PI()/4*$B$113^2*$B$35*$B$36</f>
        <v/>
      </c>
      <c r="C115" s="5" t="inlineStr"/>
      <c r="D115" s="8" t="inlineStr">
        <is>
          <t>B115</t>
        </is>
      </c>
    </row>
    <row r="116">
      <c r="A116" s="3" t="inlineStr">
        <is>
          <t>副边铜面积/匝 (mm²)</t>
        </is>
      </c>
      <c r="B116" s="14">
        <f>PI()/4*$B$114^2*$B$39*$B$40</f>
        <v/>
      </c>
      <c r="C116" s="5" t="inlineStr"/>
      <c r="D116" s="8" t="inlineStr">
        <is>
          <t>B116</t>
        </is>
      </c>
    </row>
    <row r="117">
      <c r="A117" s="3" t="inlineStr">
        <is>
          <t>正激复位匝数 Nr</t>
        </is>
      </c>
      <c r="B117" s="10">
        <f>IF($B$53,CEILING($B$84*$B$63/(1-$B$63),1),0)</f>
        <v/>
      </c>
      <c r="C117" s="5" t="inlineStr">
        <is>
          <t>Nr/Np ≥ D/(1-D)</t>
        </is>
      </c>
      <c r="D117" s="8" t="inlineStr">
        <is>
          <t>B117</t>
        </is>
      </c>
    </row>
    <row r="118">
      <c r="A118" s="3" t="inlineStr">
        <is>
          <t>总铜面积 (mm²)</t>
        </is>
      </c>
      <c r="B118" s="16">
        <f>$B$84*$B$115+$B$86*$B$116*$B$112+$B$117*$B$115</f>
        <v/>
      </c>
      <c r="C118" s="5" t="inlineStr"/>
      <c r="D118" s="8" t="inlineStr">
        <is>
          <t>B118</t>
        </is>
      </c>
    </row>
    <row r="119">
      <c r="A119" s="3" t="inlineStr">
        <is>
          <t>窗口填充率 (%)</t>
        </is>
      </c>
      <c r="B119" s="12">
        <f>$B$118*$B$23/$B$44*100</f>
        <v/>
      </c>
      <c r="C119" s="5" t="inlineStr">
        <is>
          <t>与 Ku 比较</t>
        </is>
      </c>
      <c r="D119" s="8" t="inlineStr">
        <is>
          <t>B119</t>
        </is>
      </c>
    </row>
    <row r="120">
      <c r="A120" s="3" t="inlineStr">
        <is>
          <t>满足 Ku 所需 Aw (mm²)</t>
        </is>
      </c>
      <c r="B120" s="11">
        <f>$B$118*$B$23/$B$22</f>
        <v/>
      </c>
      <c r="C120" s="5" t="inlineStr"/>
      <c r="D120" s="8" t="inlineStr">
        <is>
          <t>B120</t>
        </is>
      </c>
    </row>
    <row r="121">
      <c r="A121" s="3" t="inlineStr">
        <is>
          <t>原边电流密度 (A/mm²)</t>
        </is>
      </c>
      <c r="B121" s="12">
        <f>$B$108/$B$115</f>
        <v/>
      </c>
      <c r="C121" s="5" t="inlineStr"/>
      <c r="D121" s="8" t="inlineStr">
        <is>
          <t>B121</t>
        </is>
      </c>
    </row>
    <row r="122">
      <c r="A122" s="3" t="inlineStr">
        <is>
          <t>副边电流密度 (A/mm²)</t>
        </is>
      </c>
      <c r="B122" s="12">
        <f>$B$110/$B$116</f>
        <v/>
      </c>
      <c r="C122" s="5" t="inlineStr"/>
      <c r="D122" s="8" t="inlineStr">
        <is>
          <t>B122</t>
        </is>
      </c>
    </row>
    <row r="123">
      <c r="A123" s="3" t="inlineStr">
        <is>
          <t>原边 DCR@25°C (mΩ)</t>
        </is>
      </c>
      <c r="B123" s="12">
        <f>1000*1.758e-08*($B$45/1000)*$B$84/($B$115/1000000)</f>
        <v/>
      </c>
      <c r="C123" s="5" t="inlineStr"/>
      <c r="D123" s="8" t="inlineStr">
        <is>
          <t>B123</t>
        </is>
      </c>
    </row>
    <row r="124">
      <c r="A124" s="3" t="inlineStr">
        <is>
          <t>副边 DCR@25°C (mΩ)</t>
        </is>
      </c>
      <c r="B124" s="12">
        <f>1000*1.758e-08*($B$45/1000)*$B$86/($B$116/1000000)</f>
        <v/>
      </c>
      <c r="C124" s="5" t="inlineStr"/>
      <c r="D124" s="8" t="inlineStr">
        <is>
          <t>B124</t>
        </is>
      </c>
    </row>
    <row r="125">
      <c r="A125" s="3" t="inlineStr">
        <is>
          <t>原边铜损 (W)</t>
        </is>
      </c>
      <c r="B125" s="16">
        <f>$B$108^2*2.266e-08*($B$45/1000)*$B$84/($B$115/1000000)*$B$27</f>
        <v/>
      </c>
      <c r="C125" s="5" t="inlineStr"/>
      <c r="D125" s="8" t="inlineStr">
        <is>
          <t>B125</t>
        </is>
      </c>
    </row>
    <row r="126">
      <c r="A126" s="3" t="inlineStr">
        <is>
          <t>副边铜损 (W)</t>
        </is>
      </c>
      <c r="B126" s="16">
        <f>$B$110^2*2.266e-08*($B$45/1000)*$B$86/($B$116/1000000)*$B$27*$B$112</f>
        <v/>
      </c>
      <c r="C126" s="5" t="inlineStr"/>
      <c r="D126" s="8" t="inlineStr">
        <is>
          <t>B126</t>
        </is>
      </c>
    </row>
    <row r="127">
      <c r="A127" s="3" t="inlineStr">
        <is>
          <t>总铜损@100°C 初值 (W)</t>
        </is>
      </c>
      <c r="B127" s="16">
        <f>$B$125+$B$126</f>
        <v/>
      </c>
      <c r="C127" s="5" t="inlineStr"/>
      <c r="D127" s="8" t="inlineStr">
        <is>
          <t>B127</t>
        </is>
      </c>
    </row>
    <row r="128">
      <c r="A128" s="3" t="inlineStr">
        <is>
          <t>铜电阻率@20°C (Ω·m)</t>
        </is>
      </c>
      <c r="B128" s="15">
        <f>0.00000001724</f>
        <v/>
      </c>
      <c r="C128" s="5" t="inlineStr"/>
      <c r="D128" s="8" t="inlineStr">
        <is>
          <t>B128</t>
        </is>
      </c>
    </row>
    <row r="129">
      <c r="A129" s="3" t="inlineStr">
        <is>
          <t>温升初值 (K)</t>
        </is>
      </c>
      <c r="B129" s="12">
        <f>($B$127+$B$137)*$B$24</f>
        <v/>
      </c>
      <c r="C129" s="5" t="inlineStr">
        <is>
          <t>用 100°C 初值先估一次</t>
        </is>
      </c>
      <c r="D129" s="8" t="inlineStr">
        <is>
          <t>B129</t>
        </is>
      </c>
    </row>
    <row r="130">
      <c r="A130" s="3" t="inlineStr">
        <is>
          <t>绕组温度估计 (°C)</t>
        </is>
      </c>
      <c r="B130" s="11">
        <f>$B$26+$B$129</f>
        <v/>
      </c>
      <c r="C130" s="5" t="inlineStr"/>
      <c r="D130" s="8" t="inlineStr">
        <is>
          <t>B130</t>
        </is>
      </c>
    </row>
    <row r="131">
      <c r="A131" s="3" t="inlineStr">
        <is>
          <t>铜电阻率@绕组温度 (Ω·m)</t>
        </is>
      </c>
      <c r="B131" s="15">
        <f>$B$128*(1+0.00393*($B$130-20))</f>
        <v/>
      </c>
      <c r="C131" s="5" t="inlineStr"/>
      <c r="D131" s="8" t="inlineStr">
        <is>
          <t>B131</t>
        </is>
      </c>
    </row>
    <row r="132">
      <c r="A132" s="3" t="inlineStr">
        <is>
          <t>原边铜损（迭代）(W)</t>
        </is>
      </c>
      <c r="B132" s="16">
        <f>$B$108^2*$B$131*($B$45/1000)*$B$84/($B$115/1000000)*$B$27</f>
        <v/>
      </c>
      <c r="C132" s="5" t="inlineStr"/>
      <c r="D132" s="8" t="inlineStr">
        <is>
          <t>B132</t>
        </is>
      </c>
    </row>
    <row r="133">
      <c r="A133" s="3" t="inlineStr">
        <is>
          <t>副边铜损（迭代）(W)</t>
        </is>
      </c>
      <c r="B133" s="16">
        <f>$B$110^2*$B$131*($B$45/1000)*$B$86/($B$116/1000000)*$B$27*$B$112</f>
        <v/>
      </c>
      <c r="C133" s="5" t="inlineStr"/>
      <c r="D133" s="8" t="inlineStr">
        <is>
          <t>B133</t>
        </is>
      </c>
    </row>
    <row r="134">
      <c r="A134" s="3" t="inlineStr">
        <is>
          <t>总铜损（一次温度迭代）(W)</t>
        </is>
      </c>
      <c r="B134" s="16">
        <f>$B$132+$B$133</f>
        <v/>
      </c>
      <c r="C134" s="5" t="inlineStr">
        <is>
          <t>引擎为收敛迭代，本表一次迭代</t>
        </is>
      </c>
      <c r="D134" s="8" t="inlineStr">
        <is>
          <t>B134</t>
        </is>
      </c>
    </row>
    <row r="135">
      <c r="A135" s="3" t="inlineStr">
        <is>
          <t>B_ac = ΔB_pp/2 (T)</t>
        </is>
      </c>
      <c r="B135" s="14">
        <f>$B$92/2</f>
        <v/>
      </c>
      <c r="C135" s="5" t="inlineStr"/>
      <c r="D135" s="8" t="inlineStr">
        <is>
          <t>B135</t>
        </is>
      </c>
    </row>
    <row r="136">
      <c r="A136" s="3" t="inlineStr">
        <is>
          <t>Pcv (kW/m³)</t>
        </is>
      </c>
      <c r="B136" s="11">
        <f>$B$49*($B$14/100)^$B$50*($B$135*1000/100)^$B$51</f>
        <v/>
      </c>
      <c r="C136" s="5" t="inlineStr"/>
      <c r="D136" s="8" t="inlineStr">
        <is>
          <t>B136</t>
        </is>
      </c>
    </row>
    <row r="137">
      <c r="A137" s="3" t="inlineStr">
        <is>
          <t>磁芯损耗 (W)</t>
        </is>
      </c>
      <c r="B137" s="16">
        <f>$B$136*($B$42*$B$43)/1000000</f>
        <v/>
      </c>
      <c r="C137" s="5" t="inlineStr">
        <is>
          <t>Ve = Ae·le (mm³)</t>
        </is>
      </c>
      <c r="D137" s="8" t="inlineStr">
        <is>
          <t>B137</t>
        </is>
      </c>
    </row>
    <row r="138">
      <c r="A138" s="3" t="inlineStr">
        <is>
          <t>总损耗 (W)</t>
        </is>
      </c>
      <c r="B138" s="16">
        <f>$B$134+$B$137</f>
        <v/>
      </c>
      <c r="C138" s="5" t="inlineStr"/>
      <c r="D138" s="8" t="inlineStr">
        <is>
          <t>B138</t>
        </is>
      </c>
    </row>
    <row r="139">
      <c r="A139" s="3" t="inlineStr">
        <is>
          <t>温升 ΔT (K)</t>
        </is>
      </c>
      <c r="B139" s="12">
        <f>$B$138*$B$24</f>
        <v/>
      </c>
      <c r="C139" s="5" t="inlineStr"/>
      <c r="D139" s="8" t="inlineStr">
        <is>
          <t>B139</t>
        </is>
      </c>
    </row>
    <row r="140">
      <c r="A140" s="3" t="inlineStr">
        <is>
          <t>满足目标温升所需 Rth (K/W)</t>
        </is>
      </c>
      <c r="B140" s="11">
        <f>$B$25/$B$138</f>
        <v/>
      </c>
      <c r="C140" s="5" t="inlineStr"/>
      <c r="D140" s="8" t="inlineStr">
        <is>
          <t>B140</t>
        </is>
      </c>
    </row>
    <row r="141">
      <c r="A141" s="3" t="inlineStr">
        <is>
          <t>输出电感 L (µH)</t>
        </is>
      </c>
      <c r="B141" s="12">
        <f>IF($B$59,1000000*$B$66*(1-$B$88)/($B$20*$B$41),0)</f>
        <v/>
      </c>
      <c r="C141" s="5" t="inlineStr">
        <is>
          <t>Vin_min 设计点</t>
        </is>
      </c>
      <c r="D141" s="8" t="inlineStr">
        <is>
          <t>B141</t>
        </is>
      </c>
    </row>
    <row r="142">
      <c r="A142" s="3" t="inlineStr">
        <is>
          <t>ΔI_L@Vin_max (A)</t>
        </is>
      </c>
      <c r="B142" s="16">
        <f>IF($B$59,$B$20*(1-$B$89)/(1-$B$88),0)</f>
        <v/>
      </c>
      <c r="C142" s="5" t="inlineStr"/>
      <c r="D142" s="8" t="inlineStr">
        <is>
          <t>B142</t>
        </is>
      </c>
    </row>
    <row r="143">
      <c r="A143" s="3" t="inlineStr">
        <is>
          <t>输出电感峰值 (A)</t>
        </is>
      </c>
      <c r="B143" s="16">
        <f>IF($B$59,$B$12+$B$142/2,0)</f>
        <v/>
      </c>
      <c r="C143" s="5" t="inlineStr"/>
      <c r="D143" s="8" t="inlineStr">
        <is>
          <t>B143</t>
        </is>
      </c>
    </row>
    <row r="144">
      <c r="A144" s="3" t="inlineStr">
        <is>
          <t>输出电感匝数</t>
        </is>
      </c>
      <c r="B144" s="10">
        <f>IF($B$59,CEILING($B$141/1000000*$B$143/($B$74*$B$93),1),0)</f>
        <v/>
      </c>
      <c r="C144" s="5" t="inlineStr"/>
      <c r="D144" s="8" t="inlineStr">
        <is>
          <t>B144</t>
        </is>
      </c>
    </row>
    <row r="145">
      <c r="A145" s="3" t="inlineStr">
        <is>
          <t>输出电感 AL (nH/N²)</t>
        </is>
      </c>
      <c r="B145" s="10">
        <f>IF($B$59,($B$141/1000000)/$B$144^2*1000000000,0)</f>
        <v/>
      </c>
      <c r="C145" s="5" t="inlineStr"/>
      <c r="D145" s="8" t="inlineStr">
        <is>
          <t>B145</t>
        </is>
      </c>
    </row>
    <row r="146">
      <c r="A146" s="3" t="inlineStr">
        <is>
          <t>输出电感气隙 (mm)</t>
        </is>
      </c>
      <c r="B146" s="16">
        <f>IF($B$59,1000*(4*PI()*0.0000001*$B$74*$B$144^2/($B$141/1000000) - $B$43/1000/$B$47),0)</f>
        <v/>
      </c>
      <c r="C146" s="5" t="inlineStr">
        <is>
          <t>AL = µ0·Ae/(lg+le/µi)，AL=L/N²</t>
        </is>
      </c>
      <c r="D146" s="8" t="inlineStr">
        <is>
          <t>B146</t>
        </is>
      </c>
    </row>
    <row r="147">
      <c r="A147" s="3" t="inlineStr">
        <is>
          <t>输出电感 Bpk (T)</t>
        </is>
      </c>
      <c r="B147" s="14">
        <f>IF($B$59,$B$141/1000000*$B$143/($B$144*$B$74),0)</f>
        <v/>
      </c>
      <c r="C147" s="5" t="inlineStr"/>
      <c r="D147" s="8" t="inlineStr">
        <is>
          <t>B147</t>
        </is>
      </c>
    </row>
    <row r="148">
      <c r="A148" s="3" t="inlineStr">
        <is>
          <t>纹波预算 (V)</t>
        </is>
      </c>
      <c r="B148" s="14">
        <f>$B$11*$B$28/100</f>
        <v/>
      </c>
      <c r="C148" s="5" t="inlineStr"/>
      <c r="D148" s="8" t="inlineStr">
        <is>
          <t>B148</t>
        </is>
      </c>
    </row>
    <row r="149">
      <c r="A149" s="3" t="inlineStr">
        <is>
          <t>输出电容纹波电流 (A)</t>
        </is>
      </c>
      <c r="B149" s="16">
        <f>IF($B$59,$B$142/SQRT(12),SQRT(MAX($B$110^2-$B$12^2,0)))</f>
        <v/>
      </c>
      <c r="C149" s="5" t="inlineStr"/>
      <c r="D149" s="8" t="inlineStr">
        <is>
          <t>B149</t>
        </is>
      </c>
    </row>
    <row r="150">
      <c r="A150" s="3" t="inlineStr">
        <is>
          <t>电容纹波电流峰值 (A)</t>
        </is>
      </c>
      <c r="B150" s="16">
        <f>IF($B$59,$B$142,IF($B$57,SQRT(2)*$B$149,$B$109))</f>
        <v/>
      </c>
      <c r="C150" s="5" t="inlineStr"/>
      <c r="D150" s="8" t="inlineStr">
        <is>
          <t>B150</t>
        </is>
      </c>
    </row>
    <row r="151">
      <c r="A151" s="3" t="inlineStr">
        <is>
          <t>ESR 分量 (V)</t>
        </is>
      </c>
      <c r="B151" s="14">
        <f>$B$150*$B$29</f>
        <v/>
      </c>
      <c r="C151" s="5" t="inlineStr"/>
      <c r="D151" s="8" t="inlineStr">
        <is>
          <t>B151</t>
        </is>
      </c>
    </row>
    <row r="152">
      <c r="A152" s="3" t="inlineStr">
        <is>
          <t>输出电容 C_min (µF)</t>
        </is>
      </c>
      <c r="B152" s="11">
        <f>IF($B$151&gt;=$B$148,0,IF($B$59,1000000*$B$142/(8*$B$41*($B$148-$B$151)),IF($B$57,1000000*SQRT(2)*$B$149/(2*PI()*$B$41*($B$148-$B$151)),1000000*$B$12*$B$88/($B$41*($B$148-$B$151)))))</f>
        <v/>
      </c>
      <c r="C152" s="5" t="inlineStr"/>
      <c r="D152" s="8" t="inlineStr">
        <is>
          <t>B152</t>
        </is>
      </c>
    </row>
    <row r="153">
      <c r="A153" s="3" t="inlineStr">
        <is>
          <t>ESR 上限 (mΩ)</t>
        </is>
      </c>
      <c r="B153" s="11">
        <f>$B$148/$B$150*1000</f>
        <v/>
      </c>
      <c r="C153" s="5" t="inlineStr"/>
      <c r="D153" s="8" t="inlineStr">
        <is>
          <t>B153</t>
        </is>
      </c>
    </row>
    <row r="154">
      <c r="A154" s="3" t="inlineStr">
        <is>
          <t>二极管损耗 (W)</t>
        </is>
      </c>
      <c r="B154" s="16">
        <f>$B$13*$B$111</f>
        <v/>
      </c>
      <c r="C154" s="5" t="inlineStr"/>
      <c r="D154" s="8" t="inlineStr">
        <is>
          <t>B154</t>
        </is>
      </c>
    </row>
    <row r="155">
      <c r="A155" s="3" t="inlineStr">
        <is>
          <t>同步整流损耗 (W)</t>
        </is>
      </c>
      <c r="B155" s="16">
        <f>$B$30/1000*$B$110^2+$B$31*$B$111*(2*$B$32/1000000000*$B$41)</f>
        <v/>
      </c>
      <c r="C155" s="5" t="inlineStr"/>
      <c r="D155" s="8" t="inlineStr">
        <is>
          <t>B155</t>
        </is>
      </c>
    </row>
    <row r="156">
      <c r="A156" s="3" t="inlineStr">
        <is>
          <t>SR/二极管临界电流 (A)</t>
        </is>
      </c>
      <c r="B156" s="12">
        <f>$B$13/($B$30/1000)</f>
        <v/>
      </c>
      <c r="C156" s="5" t="inlineStr"/>
      <c r="D156" s="8" t="inlineStr">
        <is>
          <t>B156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46" customWidth="1" min="4" max="4"/>
  </cols>
  <sheetData>
    <row r="1">
      <c r="A1" s="2" t="inlineStr">
        <is>
          <t>校核 / Checks（判定公式，随输入自动更新）</t>
        </is>
      </c>
    </row>
    <row r="3">
      <c r="A3" s="3" t="inlineStr">
        <is>
          <t>磁通峰值 Bpk ≤ Bsat·降额</t>
        </is>
      </c>
      <c r="B3" s="16">
        <f>Calc!$B$97</f>
        <v/>
      </c>
      <c r="C3" s="16">
        <f>Calc!$B$93</f>
        <v/>
      </c>
      <c r="D3" s="3">
        <f>IF(B3&lt;=C3,"通过","不通过")</f>
        <v/>
      </c>
    </row>
    <row r="4">
      <c r="A4" s="3" t="inlineStr">
        <is>
          <t>Vin_min 所需占空比 D ≤ 上限</t>
        </is>
      </c>
      <c r="B4" s="16">
        <f>Calc!$B$88</f>
        <v/>
      </c>
      <c r="C4" s="16">
        <f>Calc!$B$62</f>
        <v/>
      </c>
      <c r="D4" s="3">
        <f>IF(B4&lt;=C4,"通过","不通过（需增大 Np 或提高 D 上限）")</f>
        <v/>
      </c>
    </row>
    <row r="5">
      <c r="A5" s="3" t="inlineStr">
        <is>
          <t>窗口填充率 ≤ Ku</t>
        </is>
      </c>
      <c r="B5" s="16">
        <f>Calc!$B$119</f>
        <v/>
      </c>
      <c r="C5" s="16">
        <f>Calc!$B$22*100</f>
        <v/>
      </c>
      <c r="D5" s="3">
        <f>IF(B5&lt;=C5,"通过","不通过（换大磁芯或减线径）")</f>
        <v/>
      </c>
    </row>
    <row r="6">
      <c r="A6" s="3" t="inlineStr">
        <is>
          <t>原边电流密度（参考，以温升为准）</t>
        </is>
      </c>
      <c r="B6" s="16">
        <f>Calc!$B$121</f>
        <v/>
      </c>
      <c r="C6" s="16">
        <f>Calc!$B$21*1.25</f>
        <v/>
      </c>
      <c r="D6" s="3">
        <f>IF(B6&lt;=C6,"通过","高于目标 J，若温升允许可接受")</f>
        <v/>
      </c>
    </row>
    <row r="7">
      <c r="A7" s="3" t="inlineStr">
        <is>
          <t>副边电流密度（参考，以温升为准）</t>
        </is>
      </c>
      <c r="B7" s="16">
        <f>Calc!$B$122</f>
        <v/>
      </c>
      <c r="C7" s="16">
        <f>Calc!$B$21*1.25</f>
        <v/>
      </c>
      <c r="D7" s="3">
        <f>IF(B7&lt;=C7,"通过","高于目标 J，若温升允许可接受")</f>
        <v/>
      </c>
    </row>
    <row r="8">
      <c r="A8" s="3" t="inlineStr">
        <is>
          <t>温升 ΔT ≤ 目标</t>
        </is>
      </c>
      <c r="B8" s="16">
        <f>Calc!$B$139</f>
        <v/>
      </c>
      <c r="C8" s="16">
        <f>Calc!$B$25</f>
        <v/>
      </c>
      <c r="D8" s="3">
        <f>IF(B8&lt;=C8,"通过","不通过（需降损耗或改散热）")</f>
        <v/>
      </c>
    </row>
    <row r="9">
      <c r="A9" s="3" t="inlineStr">
        <is>
          <t>正激复位绕组 Nr/Np ≥ D/(1-D)</t>
        </is>
      </c>
      <c r="B9" s="16">
        <f>IF(Calc!$B$53=TRUE,Calc!$B$117/Calc!$B$84,1)</f>
        <v/>
      </c>
      <c r="C9" s="16">
        <f>IF(Calc!$B$53=TRUE,Calc!$B$63/(1-Calc!$B$63),1)</f>
        <v/>
      </c>
      <c r="D9" s="3">
        <f>IF(B9&gt;=C9,"通过","不通过：复位时间不足")</f>
        <v/>
      </c>
    </row>
    <row r="10">
      <c r="A10" s="3" t="inlineStr">
        <is>
          <t>输出电感 Bpk ≤ 允许值</t>
        </is>
      </c>
      <c r="B10" s="16">
        <f>Calc!$B$147</f>
        <v/>
      </c>
      <c r="C10" s="16">
        <f>IF(Calc!$B$59,Calc!$B$93,999)</f>
        <v/>
      </c>
      <c r="D10" s="3">
        <f>IF(B10&lt;=C10,"通过/不适用","不通过（电感磁芯偏小）")</f>
        <v/>
      </c>
    </row>
    <row r="11">
      <c r="A11" s="3" t="inlineStr">
        <is>
          <t>输出电感气隙（≤2mm 工程可用）</t>
        </is>
      </c>
      <c r="B11" s="16">
        <f>Calc!$B$146</f>
        <v/>
      </c>
      <c r="C11" s="16">
        <f>IF(Calc!$B$59,2,999)</f>
        <v/>
      </c>
      <c r="D11" s="3">
        <f>IF(B11&lt;=C11,"通过/不适用","气隙过大：改磁芯或磁粉芯")</f>
        <v/>
      </c>
    </row>
    <row r="12">
      <c r="A12" s="3" t="inlineStr">
        <is>
          <t>输出电容 ESR 占纹波预算 ≤50%</t>
        </is>
      </c>
      <c r="B12" s="16">
        <f>Calc!$B$151/Calc!$B$148*100</f>
        <v/>
      </c>
      <c r="C12" s="16">
        <f>50</f>
        <v/>
      </c>
      <c r="D12" s="3">
        <f>IF(B12&lt;=C12,"通过","ESR 主导：需更低 ESR 或多只并联（C 列为 0 表示 ESR 单独已超预算）")</f>
        <v/>
      </c>
    </row>
    <row r="14">
      <c r="A14" s="17" t="inlineStr">
        <is>
          <t>活体自检 / Self-consistency（相对偏差，应≈0）</t>
        </is>
      </c>
    </row>
    <row r="15">
      <c r="A15" s="5" t="inlineStr">
        <is>
          <t>ΔB 两条路径：V·t/(Np·Ae) vs Lp·ΔI/(Np·Ae)（反激）</t>
        </is>
      </c>
      <c r="B15" s="18">
        <f>ABS(Calc!$B$90/(Calc!$B$84*Calc!$B$74)-(Calc!$B$77/1000000)*Calc!$B$78/(Calc!$B$84*Calc!$B$74))/MAX(Calc!$B$90/(Calc!$B$84*Calc!$B$74),0.000001)</f>
        <v/>
      </c>
    </row>
    <row r="16">
      <c r="A16" s="5" t="inlineStr">
        <is>
          <t>Lm = AL·Np² 往返</t>
        </is>
      </c>
      <c r="B16" s="18">
        <f>ABS(Calc!$B$94/1000000000*Calc!$B$84*Calc!$B$84-(Calc!$B$95/1000000))/(Calc!$B$95/1000000)</f>
        <v/>
      </c>
    </row>
    <row r="17">
      <c r="A17" s="5" t="inlineStr">
        <is>
          <t>填充率往返：铜面积×k_pack/Aw</t>
        </is>
      </c>
      <c r="B17" s="18">
        <f>ABS(Calc!$B$119/100*Calc!$B$44/Calc!$B$23-Calc!$B$118)/MAX(Calc!$B$118,0.000001)</f>
        <v/>
      </c>
    </row>
    <row r="18">
      <c r="A18" s="5" t="inlineStr">
        <is>
          <t>实测 AL 与几何推算 µ0·µi·Ae/le 的偏差（信息项：几何可疑时会明显偏离）</t>
        </is>
      </c>
      <c r="B18" s="18">
        <f>IF(Calc!$B$46=0,0,ABS(Calc!$B$46-1000000*4*PI()*0.0000001*Calc!$B$47*Calc!$B$74/(Calc!$B$43/1000))/(1000000*4*PI()*0.0000001*Calc!$B$47*Calc!$B$74/(Calc!$B$43/1000)))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2026-10-15T14:20:54Z</dcterms:created>
  <dcterms:modified xsi:type="dcterms:W3CDTF">2026-10-15T14:20:54Z</dcterms:modified>
</cp:coreProperties>
</file>