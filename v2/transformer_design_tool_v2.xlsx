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D_design 设计占空比上限（工程默认值，可改）</t>
        </is>
      </c>
      <c r="B16" s="4" t="n">
        <v>0.45</v>
      </c>
      <c r="C16" s="5" t="inlineStr">
        <is>
          <t>反激 0.60 / 正激 0.45（电容复位 0.60）/ 推挽·桥式 0.45 / LLC 0.50；超出只提示确认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D_design 设计占空比上限（工程默认值，可改）</t>
        </is>
      </c>
      <c r="B16" s="9">
        <f>'Inputs'!$B$16</f>
        <v/>
      </c>
      <c r="C16" s="5" t="inlineStr">
        <is>
          <t>反激 0.60 / 正激 0.45（电容复位 0.60）/ 推挽·桥式 0.45 / LLC 0.50；超出只提示确认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拓扑/电路硬上限 D_topo</t>
        </is>
      </c>
      <c r="B62" s="12">
        <f>IF($B$52,0.95,IF($B$53,0.50,IF($B$57,0.50,0.50)))</f>
        <v/>
      </c>
      <c r="C62" s="5" t="inlineStr">
        <is>
          <t>反激无固定值（真正约束是 V_or/耐压与复位时间，0.95 = 不设限）；正激 0.50 = 1:1 复位绕组，电容复位需按复位电路算</t>
        </is>
      </c>
      <c r="D62" s="8" t="inlineStr">
        <is>
          <t>B62</t>
        </is>
      </c>
    </row>
    <row r="63">
      <c r="A63" s="3" t="inlineStr">
        <is>
          <t>控制器允许上限 D_controller</t>
        </is>
      </c>
      <c r="B63" s="12">
        <f>0.95</f>
        <v/>
      </c>
      <c r="C63" s="5" t="inlineStr">
        <is>
          <t>按芯片手册改；推挽/桥式 = 0.5 − t_dead·Fs</t>
        </is>
      </c>
      <c r="D63" s="8" t="inlineStr">
        <is>
          <t>B63</t>
        </is>
      </c>
    </row>
    <row r="64">
      <c r="A64" s="3" t="inlineStr">
        <is>
          <t>D_allowed = min(拓扑, 控制器, 设计)</t>
        </is>
      </c>
      <c r="B64" s="14">
        <f>MIN($B$16,$B$63,$B$62)</f>
        <v/>
      </c>
      <c r="C64" s="5" t="inlineStr">
        <is>
          <t>设计裕量 D_design 超出只提示确认，不判物理失败</t>
        </is>
      </c>
      <c r="D64" s="8" t="inlineStr">
        <is>
          <t>B64</t>
        </is>
      </c>
    </row>
    <row r="65">
      <c r="A65" s="3" t="inlineStr">
        <is>
          <t>Po (W)</t>
        </is>
      </c>
      <c r="B65" s="12">
        <f>$B$11*$B$12</f>
        <v/>
      </c>
      <c r="C65" s="5" t="inlineStr"/>
      <c r="D65" s="8" t="inlineStr">
        <is>
          <t>B65</t>
        </is>
      </c>
    </row>
    <row r="66">
      <c r="A66" s="3" t="inlineStr">
        <is>
          <t>Pin (W)</t>
        </is>
      </c>
      <c r="B66" s="12">
        <f>$B$65/$B$15</f>
        <v/>
      </c>
      <c r="C66" s="5" t="inlineStr"/>
      <c r="D66" s="8" t="inlineStr">
        <is>
          <t>B66</t>
        </is>
      </c>
    </row>
    <row r="67">
      <c r="A67" s="3" t="inlineStr">
        <is>
          <t>Vo = Vout+Vf (V)</t>
        </is>
      </c>
      <c r="B67" s="12">
        <f>$B$11+$B$13</f>
        <v/>
      </c>
      <c r="C67" s="5" t="inlineStr"/>
      <c r="D67" s="8" t="inlineStr">
        <is>
          <t>B67</t>
        </is>
      </c>
    </row>
    <row r="68">
      <c r="A68" s="3" t="inlineStr">
        <is>
          <t>Vin_nom（LLC 用）</t>
        </is>
      </c>
      <c r="B68" s="11">
        <f>IF($B$7&gt;0,$B$7,($B$9+$B$10)/2)</f>
        <v/>
      </c>
      <c r="C68" s="5" t="inlineStr"/>
      <c r="D68" s="8" t="inlineStr">
        <is>
          <t>B68</t>
        </is>
      </c>
    </row>
    <row r="69">
      <c r="A69" s="3" t="inlineStr">
        <is>
          <t>目标变比 n=Np/Ns</t>
        </is>
      </c>
      <c r="B69" s="14">
        <f>IF($B$52,$B$9*$B$64/((1-$B$64)*$B$67),IF($B$53,$B$9*$B$64/$B$67,IF($B$58,$B$60*$B$9*$B$64/$B$67,$B$68/(2*$B$67))))</f>
        <v/>
      </c>
      <c r="C69" s="5" t="inlineStr"/>
      <c r="D69" s="8" t="inlineStr">
        <is>
          <t>B69</t>
        </is>
      </c>
    </row>
    <row r="70">
      <c r="A70" s="3" t="inlineStr">
        <is>
          <t>D_max 点占空比(Vin_min,目标比)</t>
        </is>
      </c>
      <c r="B70" s="14">
        <f>IF($B$52,$B$69*$B$67/($B$9+$B$69*$B$67),IF($B$53,$B$69*$B$67/$B$9,IF($B$58,$B$69*$B$67/($B$60*$B$9),0.5)))</f>
        <v/>
      </c>
      <c r="C70" s="5" t="inlineStr"/>
      <c r="D70" s="8" t="inlineStr">
        <is>
          <t>B70</t>
        </is>
      </c>
    </row>
    <row r="71">
      <c r="A71" s="3" t="inlineStr">
        <is>
          <t>D@Vin_max(目标比)</t>
        </is>
      </c>
      <c r="B71" s="14">
        <f>IF($B$52,$B$69*$B$67/($B$10+$B$69*$B$67),IF($B$53,$B$69*$B$67/$B$10,IF($B$58,$B$69*$B$67/($B$60*$B$10),0.5)))</f>
        <v/>
      </c>
      <c r="C71" s="5" t="inlineStr"/>
      <c r="D71" s="8" t="inlineStr">
        <is>
          <t>B71</t>
        </is>
      </c>
    </row>
    <row r="72">
      <c r="A72" s="3" t="inlineStr">
        <is>
          <t>V·t@Vin_min (V·s)</t>
        </is>
      </c>
      <c r="B72" s="15">
        <f>$B$61*$B$9*$B$70/$B$41</f>
        <v/>
      </c>
      <c r="C72" s="5" t="inlineStr"/>
      <c r="D72" s="8" t="inlineStr">
        <is>
          <t>B72</t>
        </is>
      </c>
    </row>
    <row r="73">
      <c r="A73" s="3" t="inlineStr">
        <is>
          <t>V·t@Vin_max (V·s)</t>
        </is>
      </c>
      <c r="B73" s="15">
        <f>$B$61*$B$10*$B$71/$B$41</f>
        <v/>
      </c>
      <c r="C73" s="5" t="inlineStr"/>
      <c r="D73" s="8" t="inlineStr">
        <is>
          <t>B73</t>
        </is>
      </c>
    </row>
    <row r="74">
      <c r="A74" s="3" t="inlineStr">
        <is>
          <t>V·t 最恶劣 (V·s)</t>
        </is>
      </c>
      <c r="B74" s="15">
        <f>MAX($B$72,$B$73)</f>
        <v/>
      </c>
      <c r="C74" s="5" t="inlineStr"/>
      <c r="D74" s="8" t="inlineStr">
        <is>
          <t>B74</t>
        </is>
      </c>
    </row>
    <row r="75">
      <c r="A75" s="3" t="inlineStr">
        <is>
          <t>Ae (m²)</t>
        </is>
      </c>
      <c r="B75" s="15">
        <f>$B$42/1000000</f>
        <v/>
      </c>
      <c r="C75" s="5" t="inlineStr"/>
      <c r="D75" s="8" t="inlineStr">
        <is>
          <t>B75</t>
        </is>
      </c>
    </row>
    <row r="76">
      <c r="A76" s="3" t="inlineStr">
        <is>
          <t>磁通决定 Np 下限</t>
        </is>
      </c>
      <c r="B76" s="10">
        <f>MAX(1,CEILING($B$74/($B$75*$B$17),1))</f>
        <v/>
      </c>
      <c r="C76" s="5" t="inlineStr"/>
      <c r="D76" s="8" t="inlineStr">
        <is>
          <t>B76</t>
        </is>
      </c>
    </row>
    <row r="77">
      <c r="A77" s="3" t="inlineStr">
        <is>
          <t>原边峰值 Ipk (A)</t>
        </is>
      </c>
      <c r="B77" s="16">
        <f>IF($B$52,IF($B$19&gt;=2,2*$B$66/($B$9*$B$64),($B$66/$B$9/$B$64)/(1-$B$19/2)),IF($B$57,$B$66/(0.5*$B$68)*1.414,($B$12+$B$20/2)/$B$69))</f>
        <v/>
      </c>
      <c r="C77" s="5" t="inlineStr"/>
      <c r="D77" s="8" t="inlineStr">
        <is>
          <t>B77</t>
        </is>
      </c>
    </row>
    <row r="78">
      <c r="A78" s="3" t="inlineStr">
        <is>
          <t>Lp (µH)（反激）</t>
        </is>
      </c>
      <c r="B78" s="12">
        <f>IF($B$52,1000000*($B$9*$B$64/($B$19*$B$77*$B$41)),0)</f>
        <v/>
      </c>
      <c r="C78" s="5" t="inlineStr">
        <is>
          <t>按纹波比反算</t>
        </is>
      </c>
      <c r="D78" s="8" t="inlineStr">
        <is>
          <t>B78</t>
        </is>
      </c>
    </row>
    <row r="79">
      <c r="A79" s="3" t="inlineStr">
        <is>
          <t>ΔI_pri (A)（反激）</t>
        </is>
      </c>
      <c r="B79" s="16">
        <f>IF($B$52,$B$19*$B$77,0)</f>
        <v/>
      </c>
      <c r="C79" s="5" t="inlineStr"/>
      <c r="D79" s="8" t="inlineStr">
        <is>
          <t>B79</t>
        </is>
      </c>
    </row>
    <row r="80">
      <c r="A80" s="3" t="inlineStr">
        <is>
          <t>谷值 (A)（反激）</t>
        </is>
      </c>
      <c r="B80" s="16">
        <f>IF($B$52,MAX($B$77-$B$79,0),0)</f>
        <v/>
      </c>
      <c r="C80" s="5" t="inlineStr"/>
      <c r="D80" s="8" t="inlineStr">
        <is>
          <t>B80</t>
        </is>
      </c>
    </row>
    <row r="81">
      <c r="A81" s="3" t="inlineStr">
        <is>
          <t>ΔI_pri@实际占空比 (A)</t>
        </is>
      </c>
      <c r="B81" s="16">
        <f>IF($B$52,$B$9*$B$89/(($B$78/1000000)*$B$41),0)</f>
        <v/>
      </c>
      <c r="C81" s="5" t="inlineStr"/>
      <c r="D81" s="8" t="inlineStr">
        <is>
          <t>B81</t>
        </is>
      </c>
    </row>
    <row r="82">
      <c r="A82" s="3" t="inlineStr">
        <is>
          <t>Ipk@实际占空比 (A)</t>
        </is>
      </c>
      <c r="B82" s="16">
        <f>IF($B$52,$B$66/($B$9*$B$89)+$B$81/2,$B$77)</f>
        <v/>
      </c>
      <c r="C82" s="5" t="inlineStr">
        <is>
          <t>与引擎同一约定</t>
        </is>
      </c>
      <c r="D82" s="8" t="inlineStr">
        <is>
          <t>B82</t>
        </is>
      </c>
    </row>
    <row r="83">
      <c r="A83" s="3" t="inlineStr">
        <is>
          <t>谷值@实际占空比 (A)</t>
        </is>
      </c>
      <c r="B83" s="16">
        <f>IF($B$52,$B$66/($B$9*$B$89)-$B$81/2,0)</f>
        <v/>
      </c>
      <c r="C83" s="5" t="inlineStr"/>
      <c r="D83" s="8" t="inlineStr">
        <is>
          <t>B83</t>
        </is>
      </c>
    </row>
    <row r="84">
      <c r="A84" s="3" t="inlineStr">
        <is>
          <t>不饱和决定 Np 下限</t>
        </is>
      </c>
      <c r="B84" s="10">
        <f>IF($B$52,CEILING(($B$78/1000000)*$B$77/($B$75*$B$48*$B$18),1),0)</f>
        <v/>
      </c>
      <c r="C84" s="5" t="inlineStr"/>
      <c r="D84" s="8" t="inlineStr">
        <is>
          <t>B84</t>
        </is>
      </c>
    </row>
    <row r="85">
      <c r="A85" s="3" t="inlineStr">
        <is>
          <t>Np (匝)</t>
        </is>
      </c>
      <c r="B85" s="10">
        <f>MAX(1,$B$76,$B$84)</f>
        <v/>
      </c>
      <c r="C85" s="5" t="inlineStr">
        <is>
          <t>磁通与不饱和下限取大者</t>
        </is>
      </c>
      <c r="D85" s="8" t="inlineStr">
        <is>
          <t>B85</t>
        </is>
      </c>
    </row>
    <row r="86">
      <c r="A86" s="3" t="inlineStr">
        <is>
          <t>Ns 自动取整</t>
        </is>
      </c>
      <c r="B86" s="10">
        <f>MAX(1,ROUND($B$85/$B$69,0))</f>
        <v/>
      </c>
      <c r="C86" s="5" t="inlineStr"/>
      <c r="D86" s="8" t="inlineStr">
        <is>
          <t>B86</t>
        </is>
      </c>
    </row>
    <row r="87">
      <c r="A87" s="3" t="inlineStr">
        <is>
          <t>Ns (匝)</t>
        </is>
      </c>
      <c r="B87" s="10">
        <f>IF($B$8&gt;0,$B$8,$B$86)</f>
        <v/>
      </c>
      <c r="C87" s="5" t="inlineStr">
        <is>
          <t>可手动覆盖（评审供应商方案）</t>
        </is>
      </c>
      <c r="D87" s="8" t="inlineStr">
        <is>
          <t>B87</t>
        </is>
      </c>
    </row>
    <row r="88">
      <c r="A88" s="3" t="inlineStr">
        <is>
          <t>实际变比 n=Np/Ns</t>
        </is>
      </c>
      <c r="B88" s="14">
        <f>$B$85/$B$87</f>
        <v/>
      </c>
      <c r="C88" s="5" t="inlineStr"/>
      <c r="D88" s="8" t="inlineStr">
        <is>
          <t>B88</t>
        </is>
      </c>
    </row>
    <row r="89">
      <c r="A89" s="3" t="inlineStr">
        <is>
          <t>D@Vin_min（实际比）</t>
        </is>
      </c>
      <c r="B89" s="14">
        <f>IF($B$52,$B$88*$B$67/($B$9+$B$88*$B$67),IF($B$53,$B$88*$B$67/$B$9,IF($B$58,$B$88*$B$67/($B$60*$B$9),0.5)))</f>
        <v/>
      </c>
      <c r="C89" s="5" t="inlineStr"/>
      <c r="D89" s="8" t="inlineStr">
        <is>
          <t>B89</t>
        </is>
      </c>
    </row>
    <row r="90">
      <c r="A90" s="3" t="inlineStr">
        <is>
          <t>D@Vin_max（实际比）</t>
        </is>
      </c>
      <c r="B90" s="14">
        <f>IF($B$52,$B$88*$B$67/($B$10+$B$88*$B$67),IF($B$53,$B$88*$B$67/$B$10,IF($B$58,$B$88*$B$67/($B$60*$B$10),0.5)))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V·t（实际比，Vin_min 端）</t>
        </is>
      </c>
      <c r="B91" s="15">
        <f>$B$61*$B$9*$B$89/$B$41</f>
        <v/>
      </c>
      <c r="C91" s="5" t="inlineStr"/>
      <c r="D91" s="8" t="inlineStr">
        <is>
          <t>B91</t>
        </is>
      </c>
    </row>
    <row r="92">
      <c r="A92" s="3" t="inlineStr">
        <is>
          <t>V·t（实际比，Vin_max 端）</t>
        </is>
      </c>
      <c r="B92" s="15">
        <f>$B$61*$B$10*$B$90/$B$41</f>
        <v/>
      </c>
      <c r="C92" s="5" t="inlineStr"/>
      <c r="D92" s="8" t="inlineStr">
        <is>
          <t>B92</t>
        </is>
      </c>
    </row>
    <row r="93">
      <c r="A93" s="3" t="inlineStr">
        <is>
          <t>ΔB_pp (T)</t>
        </is>
      </c>
      <c r="B93" s="14">
        <f>MAX($B$91,$B$92)/($B$85*$B$75)</f>
        <v/>
      </c>
      <c r="C93" s="5" t="inlineStr">
        <is>
          <t>取两端较恶劣者（反激摆动最大在 Vin_max）</t>
        </is>
      </c>
      <c r="D93" s="8" t="inlineStr">
        <is>
          <t>B93</t>
        </is>
      </c>
    </row>
    <row r="94">
      <c r="A94" s="3" t="inlineStr">
        <is>
          <t>允许峰值 Bsat·降额 (T)</t>
        </is>
      </c>
      <c r="B94" s="16">
        <f>$B$48*$B$18</f>
        <v/>
      </c>
      <c r="C94" s="5" t="inlineStr"/>
      <c r="D94" s="8" t="inlineStr">
        <is>
          <t>B94</t>
        </is>
      </c>
    </row>
    <row r="95">
      <c r="A95" s="3" t="inlineStr">
        <is>
          <t>AL (nH/N²)</t>
        </is>
      </c>
      <c r="B95" s="10">
        <f>IF($B$46&gt;0,$B$46,1000000*4*PI()*0.0000001*$B$47*$B$75/($B$43/1000))</f>
        <v/>
      </c>
      <c r="C95" s="5" t="inlineStr">
        <is>
          <t>实测优先，否则 µ0·µi·Ae/le</t>
        </is>
      </c>
      <c r="D95" s="8" t="inlineStr">
        <is>
          <t>B95</t>
        </is>
      </c>
    </row>
    <row r="96">
      <c r="A96" s="3" t="inlineStr">
        <is>
          <t>Lm (µH) = AL·Np²</t>
        </is>
      </c>
      <c r="B96" s="12">
        <f>$B$95/1000000000*$B$85*$B$85*1000000</f>
        <v/>
      </c>
      <c r="C96" s="5" t="inlineStr"/>
      <c r="D96" s="8" t="inlineStr">
        <is>
          <t>B96</t>
        </is>
      </c>
    </row>
    <row r="97">
      <c r="A97" s="3" t="inlineStr">
        <is>
          <t>ΔI_m (A) = V·t/Lm</t>
        </is>
      </c>
      <c r="B97" s="14">
        <f>$B$74/($B$96/1000000)</f>
        <v/>
      </c>
      <c r="C97" s="5" t="inlineStr"/>
      <c r="D97" s="8" t="inlineStr">
        <is>
          <t>B97</t>
        </is>
      </c>
    </row>
    <row r="98">
      <c r="A98" s="3" t="inlineStr">
        <is>
          <t>Bpk (T)</t>
        </is>
      </c>
      <c r="B98" s="14">
        <f>IF($B$52,$B$78/1000000*$B$82/($B$85*$B$75),IF(OR($B$58,$B$57),$B$93/2,$B$93))</f>
        <v/>
      </c>
      <c r="C98" s="5" t="inlineStr">
        <is>
          <t>单极性 Bpk=ΔB；双极性减半；反激 Lp·Ipk/(Np·Ae)</t>
        </is>
      </c>
      <c r="D98" s="8" t="inlineStr">
        <is>
          <t>B98</t>
        </is>
      </c>
    </row>
    <row r="99">
      <c r="A99" s="3" t="inlineStr">
        <is>
          <t>原边峰值(含励磁) (A)</t>
        </is>
      </c>
      <c r="B99" s="16">
        <f>IF($B$52,$B$77,$B$77+$B$97/2)</f>
        <v/>
      </c>
      <c r="C99" s="5" t="inlineStr"/>
      <c r="D99" s="8" t="inlineStr">
        <is>
          <t>B99</t>
        </is>
      </c>
    </row>
    <row r="100">
      <c r="A100" s="3" t="inlineStr">
        <is>
          <t>副边电流下沿 (A)</t>
        </is>
      </c>
      <c r="B100" s="16">
        <f>$B$12-$B$20/2</f>
        <v/>
      </c>
      <c r="C100" s="5" t="inlineStr"/>
      <c r="D100" s="8" t="inlineStr">
        <is>
          <t>B100</t>
        </is>
      </c>
    </row>
    <row r="101">
      <c r="A101" s="3" t="inlineStr">
        <is>
          <t>副边电流上沿 (A)</t>
        </is>
      </c>
      <c r="B101" s="16">
        <f>$B$12+$B$20/2</f>
        <v/>
      </c>
      <c r="C101" s="5" t="inlineStr"/>
      <c r="D101" s="8" t="inlineStr">
        <is>
          <t>B101</t>
        </is>
      </c>
    </row>
    <row r="102">
      <c r="A102" s="3" t="inlineStr">
        <is>
          <t>原边电流下沿 (A)</t>
        </is>
      </c>
      <c r="B102" s="16">
        <f>IF($B$52,0,$B$100/$B$88)</f>
        <v/>
      </c>
      <c r="C102" s="5" t="inlineStr"/>
      <c r="D102" s="8" t="inlineStr">
        <is>
          <t>B102</t>
        </is>
      </c>
    </row>
    <row r="103">
      <c r="A103" s="3" t="inlineStr">
        <is>
          <t>原边电流上沿 (A)</t>
        </is>
      </c>
      <c r="B103" s="16">
        <f>IF($B$52,0,$B$101/$B$88)</f>
        <v/>
      </c>
      <c r="C103" s="5" t="inlineStr"/>
      <c r="D103" s="8" t="inlineStr">
        <is>
          <t>B103</t>
        </is>
      </c>
    </row>
    <row r="104">
      <c r="A104" s="3" t="inlineStr">
        <is>
          <t>推挽半绕组电流倍数</t>
        </is>
      </c>
      <c r="B104" s="10">
        <f>IF($B$54,2,1)</f>
        <v/>
      </c>
      <c r="C104" s="5" t="inlineStr">
        <is>
          <t>推挽每个半绕组电流为 2·Iout/n</t>
        </is>
      </c>
      <c r="D104" s="8" t="inlineStr">
        <is>
          <t>B104</t>
        </is>
      </c>
    </row>
    <row r="105">
      <c r="A105" s="3" t="inlineStr">
        <is>
          <t>原边绕组下沿 (A)</t>
        </is>
      </c>
      <c r="B105" s="16">
        <f>$B$104*$B$102</f>
        <v/>
      </c>
      <c r="C105" s="5" t="inlineStr"/>
      <c r="D105" s="8" t="inlineStr">
        <is>
          <t>B105</t>
        </is>
      </c>
    </row>
    <row r="106">
      <c r="A106" s="3" t="inlineStr">
        <is>
          <t>原边绕组上沿 (A)</t>
        </is>
      </c>
      <c r="B106" s="16">
        <f>$B$104*$B$103</f>
        <v/>
      </c>
      <c r="C106" s="5" t="inlineStr"/>
      <c r="D106" s="8" t="inlineStr">
        <is>
          <t>B106</t>
        </is>
      </c>
    </row>
    <row r="107">
      <c r="A107" s="3" t="inlineStr">
        <is>
          <t>桥式原边导通占比</t>
        </is>
      </c>
      <c r="B107" s="14">
        <f>IF($B$54,$B$89,2*$B$89)</f>
        <v/>
      </c>
      <c r="C107" s="5" t="inlineStr">
        <is>
          <t>推挽每半绕组一周期导通一次</t>
        </is>
      </c>
      <c r="D107" s="8" t="inlineStr">
        <is>
          <t>B107</t>
        </is>
      </c>
    </row>
    <row r="108">
      <c r="A108" s="3" t="inlineStr">
        <is>
          <t>副边导通占比</t>
        </is>
      </c>
      <c r="B108" s="14">
        <f>IF($B$58,IF($B$6="ct",$B$89,2*$B$89),$B$89)</f>
        <v/>
      </c>
      <c r="C108" s="5" t="inlineStr"/>
      <c r="D108" s="8" t="inlineStr">
        <is>
          <t>B108</t>
        </is>
      </c>
    </row>
    <row r="109">
      <c r="A109" s="3" t="inlineStr">
        <is>
          <t>原边 I_rms (A)</t>
        </is>
      </c>
      <c r="B109" s="16">
        <f>IF($B$52,SQRT($B$89*($B$82^2+$B$82*$B$83+$B$83^2)/3),IF($B$53,SQRT($B$89*($B$102^2+$B$102*$B$103+$B$103^2)/3+$B$89*$B$97^2/12),IF($B$58,SQRT($B$107*($B$105^2+$B$105*$B$106+$B$106^2)/3+$B$97^2*$B$107/12),$B$66/(0.5*$B$68))))</f>
        <v/>
      </c>
      <c r="C109" s="5" t="inlineStr"/>
      <c r="D109" s="8" t="inlineStr">
        <is>
          <t>B109</t>
        </is>
      </c>
    </row>
    <row r="110">
      <c r="A110" s="3" t="inlineStr">
        <is>
          <t>副边峰值 Is_pk (A)</t>
        </is>
      </c>
      <c r="B110" s="16">
        <f>IF($B$52,$B$88*$B$82,IF($B$57,1.5708*$B$12,$B$12+$B$20/2))</f>
        <v/>
      </c>
      <c r="C110" s="5" t="inlineStr"/>
      <c r="D110" s="8" t="inlineStr">
        <is>
          <t>B110</t>
        </is>
      </c>
    </row>
    <row r="111">
      <c r="A111" s="3" t="inlineStr">
        <is>
          <t>副边 I_rms (A)</t>
        </is>
      </c>
      <c r="B111" s="16">
        <f>IF($B$52,$B$88*SQRT((1-$B$89)*($B$82^2+$B$82*$B$83+$B$83^2)/3),IF($B$57,1.1107*$B$12,SQRT(IF($B$59,$B$108*($B$100^2+$B$100*$B$101+$B$101^2)/3,($B$100^2+$B$100*$B$101+$B$101^2)/3))))</f>
        <v/>
      </c>
      <c r="C111" s="5" t="inlineStr"/>
      <c r="D111" s="8" t="inlineStr">
        <is>
          <t>B111</t>
        </is>
      </c>
    </row>
    <row r="112">
      <c r="A112" s="3" t="inlineStr">
        <is>
          <t>副边导通期平均 (A)</t>
        </is>
      </c>
      <c r="B112" s="16">
        <f>IF($B$52,$B$66/$B$67,IF($B$53,$B$89*$B$12,$B$12))</f>
        <v/>
      </c>
      <c r="C112" s="5" t="inlineStr"/>
      <c r="D112" s="8" t="inlineStr">
        <is>
          <t>B112</t>
        </is>
      </c>
    </row>
    <row r="113">
      <c r="A113" s="3" t="inlineStr">
        <is>
          <t>副边绕组数</t>
        </is>
      </c>
      <c r="B113" s="10">
        <f>IF(AND($B$58,$B$6="ct"),2,1)</f>
        <v/>
      </c>
      <c r="C113" s="5" t="inlineStr"/>
      <c r="D113" s="8" t="inlineStr">
        <is>
          <t>B113</t>
        </is>
      </c>
    </row>
    <row r="114">
      <c r="A114" s="3" t="inlineStr">
        <is>
          <t>原边单股线径 (mm)</t>
        </is>
      </c>
      <c r="B114" s="16">
        <f>IF($B$33="auto",CEILING(SQRT(4*($B$109/$B$21)/($B$35*$B$36)/PI()),0.05),$B$34)</f>
        <v/>
      </c>
      <c r="C114" s="5" t="inlineStr"/>
      <c r="D114" s="8" t="inlineStr">
        <is>
          <t>B114</t>
        </is>
      </c>
    </row>
    <row r="115">
      <c r="A115" s="3" t="inlineStr">
        <is>
          <t>副边单股线径 (mm)</t>
        </is>
      </c>
      <c r="B115" s="16">
        <f>IF($B$37="auto",CEILING(SQRT(4*($B$111/$B$21)/($B$39*$B$40)/PI()),0.05),$B$38)</f>
        <v/>
      </c>
      <c r="C115" s="5" t="inlineStr"/>
      <c r="D115" s="8" t="inlineStr">
        <is>
          <t>B115</t>
        </is>
      </c>
    </row>
    <row r="116">
      <c r="A116" s="3" t="inlineStr">
        <is>
          <t>原边铜面积/匝 (mm²)</t>
        </is>
      </c>
      <c r="B116" s="14">
        <f>PI()/4*$B$114^2*$B$35*$B$36</f>
        <v/>
      </c>
      <c r="C116" s="5" t="inlineStr"/>
      <c r="D116" s="8" t="inlineStr">
        <is>
          <t>B116</t>
        </is>
      </c>
    </row>
    <row r="117">
      <c r="A117" s="3" t="inlineStr">
        <is>
          <t>副边铜面积/匝 (mm²)</t>
        </is>
      </c>
      <c r="B117" s="14">
        <f>PI()/4*$B$115^2*$B$39*$B$40</f>
        <v/>
      </c>
      <c r="C117" s="5" t="inlineStr"/>
      <c r="D117" s="8" t="inlineStr">
        <is>
          <t>B117</t>
        </is>
      </c>
    </row>
    <row r="118">
      <c r="A118" s="3" t="inlineStr">
        <is>
          <t>正激复位匝数 Nr</t>
        </is>
      </c>
      <c r="B118" s="10">
        <f>IF($B$53,CEILING($B$85*$B$64/(1-$B$64),1),0)</f>
        <v/>
      </c>
      <c r="C118" s="5" t="inlineStr">
        <is>
          <t>Nr/Np ≥ D/(1-D)</t>
        </is>
      </c>
      <c r="D118" s="8" t="inlineStr">
        <is>
          <t>B118</t>
        </is>
      </c>
    </row>
    <row r="119">
      <c r="A119" s="3" t="inlineStr">
        <is>
          <t>总铜面积 (mm²)</t>
        </is>
      </c>
      <c r="B119" s="16">
        <f>$B$85*$B$116+$B$87*$B$117*$B$113+$B$118*$B$116</f>
        <v/>
      </c>
      <c r="C119" s="5" t="inlineStr"/>
      <c r="D119" s="8" t="inlineStr">
        <is>
          <t>B119</t>
        </is>
      </c>
    </row>
    <row r="120">
      <c r="A120" s="3" t="inlineStr">
        <is>
          <t>窗口填充率 (%)</t>
        </is>
      </c>
      <c r="B120" s="12">
        <f>$B$119*$B$23/$B$44*100</f>
        <v/>
      </c>
      <c r="C120" s="5" t="inlineStr">
        <is>
          <t>与 Ku 比较</t>
        </is>
      </c>
      <c r="D120" s="8" t="inlineStr">
        <is>
          <t>B120</t>
        </is>
      </c>
    </row>
    <row r="121">
      <c r="A121" s="3" t="inlineStr">
        <is>
          <t>满足 Ku 所需 Aw (mm²)</t>
        </is>
      </c>
      <c r="B121" s="11">
        <f>$B$119*$B$23/$B$22</f>
        <v/>
      </c>
      <c r="C121" s="5" t="inlineStr"/>
      <c r="D121" s="8" t="inlineStr">
        <is>
          <t>B121</t>
        </is>
      </c>
    </row>
    <row r="122">
      <c r="A122" s="3" t="inlineStr">
        <is>
          <t>原边电流密度 (A/mm²)</t>
        </is>
      </c>
      <c r="B122" s="12">
        <f>$B$109/$B$116</f>
        <v/>
      </c>
      <c r="C122" s="5" t="inlineStr"/>
      <c r="D122" s="8" t="inlineStr">
        <is>
          <t>B122</t>
        </is>
      </c>
    </row>
    <row r="123">
      <c r="A123" s="3" t="inlineStr">
        <is>
          <t>副边电流密度 (A/mm²)</t>
        </is>
      </c>
      <c r="B123" s="12">
        <f>$B$111/$B$117</f>
        <v/>
      </c>
      <c r="C123" s="5" t="inlineStr"/>
      <c r="D123" s="8" t="inlineStr">
        <is>
          <t>B123</t>
        </is>
      </c>
    </row>
    <row r="124">
      <c r="A124" s="3" t="inlineStr">
        <is>
          <t>原边 DCR@25°C (mΩ)</t>
        </is>
      </c>
      <c r="B124" s="12">
        <f>1000*1.758e-08*($B$45/1000)*$B$85/($B$116/1000000)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副边 DCR@25°C (mΩ)</t>
        </is>
      </c>
      <c r="B125" s="12">
        <f>1000*1.758e-08*($B$45/1000)*$B$87/($B$117/1000000)</f>
        <v/>
      </c>
      <c r="C125" s="5" t="inlineStr"/>
      <c r="D125" s="8" t="inlineStr">
        <is>
          <t>B125</t>
        </is>
      </c>
    </row>
    <row r="126">
      <c r="A126" s="3" t="inlineStr">
        <is>
          <t>原边铜损 (W)</t>
        </is>
      </c>
      <c r="B126" s="16">
        <f>$B$109^2*2.266e-08*($B$45/1000)*$B$85/($B$116/1000000)*$B$27</f>
        <v/>
      </c>
      <c r="C126" s="5" t="inlineStr"/>
      <c r="D126" s="8" t="inlineStr">
        <is>
          <t>B126</t>
        </is>
      </c>
    </row>
    <row r="127">
      <c r="A127" s="3" t="inlineStr">
        <is>
          <t>副边铜损 (W)</t>
        </is>
      </c>
      <c r="B127" s="16">
        <f>$B$111^2*2.266e-08*($B$45/1000)*$B$87/($B$117/1000000)*$B$27*$B$113</f>
        <v/>
      </c>
      <c r="C127" s="5" t="inlineStr"/>
      <c r="D127" s="8" t="inlineStr">
        <is>
          <t>B127</t>
        </is>
      </c>
    </row>
    <row r="128">
      <c r="A128" s="3" t="inlineStr">
        <is>
          <t>总铜损@100°C 初值 (W)</t>
        </is>
      </c>
      <c r="B128" s="16">
        <f>$B$126+$B$127</f>
        <v/>
      </c>
      <c r="C128" s="5" t="inlineStr"/>
      <c r="D128" s="8" t="inlineStr">
        <is>
          <t>B128</t>
        </is>
      </c>
    </row>
    <row r="129">
      <c r="A129" s="3" t="inlineStr">
        <is>
          <t>铜电阻率@20°C (Ω·m)</t>
        </is>
      </c>
      <c r="B129" s="15">
        <f>0.00000001724</f>
        <v/>
      </c>
      <c r="C129" s="5" t="inlineStr"/>
      <c r="D129" s="8" t="inlineStr">
        <is>
          <t>B129</t>
        </is>
      </c>
    </row>
    <row r="130">
      <c r="A130" s="3" t="inlineStr">
        <is>
          <t>温升初值 (K)</t>
        </is>
      </c>
      <c r="B130" s="12">
        <f>($B$128+$B$138)*$B$24</f>
        <v/>
      </c>
      <c r="C130" s="5" t="inlineStr">
        <is>
          <t>用 100°C 初值先估一次</t>
        </is>
      </c>
      <c r="D130" s="8" t="inlineStr">
        <is>
          <t>B130</t>
        </is>
      </c>
    </row>
    <row r="131">
      <c r="A131" s="3" t="inlineStr">
        <is>
          <t>绕组温度估计 (°C)</t>
        </is>
      </c>
      <c r="B131" s="11">
        <f>$B$26+$B$130</f>
        <v/>
      </c>
      <c r="C131" s="5" t="inlineStr"/>
      <c r="D131" s="8" t="inlineStr">
        <is>
          <t>B131</t>
        </is>
      </c>
    </row>
    <row r="132">
      <c r="A132" s="3" t="inlineStr">
        <is>
          <t>铜电阻率@绕组温度 (Ω·m)</t>
        </is>
      </c>
      <c r="B132" s="15">
        <f>$B$129*(1+0.00393*($B$131-20))</f>
        <v/>
      </c>
      <c r="C132" s="5" t="inlineStr"/>
      <c r="D132" s="8" t="inlineStr">
        <is>
          <t>B132</t>
        </is>
      </c>
    </row>
    <row r="133">
      <c r="A133" s="3" t="inlineStr">
        <is>
          <t>原边铜损（迭代）(W)</t>
        </is>
      </c>
      <c r="B133" s="16">
        <f>$B$109^2*$B$132*($B$45/1000)*$B$85/($B$116/1000000)*$B$27</f>
        <v/>
      </c>
      <c r="C133" s="5" t="inlineStr"/>
      <c r="D133" s="8" t="inlineStr">
        <is>
          <t>B133</t>
        </is>
      </c>
    </row>
    <row r="134">
      <c r="A134" s="3" t="inlineStr">
        <is>
          <t>副边铜损（迭代）(W)</t>
        </is>
      </c>
      <c r="B134" s="16">
        <f>$B$111^2*$B$132*($B$45/1000)*$B$87/($B$117/1000000)*$B$27*$B$113</f>
        <v/>
      </c>
      <c r="C134" s="5" t="inlineStr"/>
      <c r="D134" s="8" t="inlineStr">
        <is>
          <t>B134</t>
        </is>
      </c>
    </row>
    <row r="135">
      <c r="A135" s="3" t="inlineStr">
        <is>
          <t>总铜损（一次温度迭代）(W)</t>
        </is>
      </c>
      <c r="B135" s="16">
        <f>$B$133+$B$134</f>
        <v/>
      </c>
      <c r="C135" s="5" t="inlineStr">
        <is>
          <t>引擎为收敛迭代，本表一次迭代</t>
        </is>
      </c>
      <c r="D135" s="8" t="inlineStr">
        <is>
          <t>B135</t>
        </is>
      </c>
    </row>
    <row r="136">
      <c r="A136" s="3" t="inlineStr">
        <is>
          <t>B_ac = ΔB_pp/2 (T)</t>
        </is>
      </c>
      <c r="B136" s="14">
        <f>$B$93/2</f>
        <v/>
      </c>
      <c r="C136" s="5" t="inlineStr"/>
      <c r="D136" s="8" t="inlineStr">
        <is>
          <t>B136</t>
        </is>
      </c>
    </row>
    <row r="137">
      <c r="A137" s="3" t="inlineStr">
        <is>
          <t>Pcv (kW/m³)</t>
        </is>
      </c>
      <c r="B137" s="11">
        <f>$B$49*($B$14/100)^$B$50*($B$136*1000/100)^$B$51</f>
        <v/>
      </c>
      <c r="C137" s="5" t="inlineStr"/>
      <c r="D137" s="8" t="inlineStr">
        <is>
          <t>B137</t>
        </is>
      </c>
    </row>
    <row r="138">
      <c r="A138" s="3" t="inlineStr">
        <is>
          <t>磁芯损耗 (W)</t>
        </is>
      </c>
      <c r="B138" s="16">
        <f>$B$137*($B$42*$B$43)/1000000</f>
        <v/>
      </c>
      <c r="C138" s="5" t="inlineStr">
        <is>
          <t>Ve = Ae·le (mm³)</t>
        </is>
      </c>
      <c r="D138" s="8" t="inlineStr">
        <is>
          <t>B138</t>
        </is>
      </c>
    </row>
    <row r="139">
      <c r="A139" s="3" t="inlineStr">
        <is>
          <t>总损耗 (W)</t>
        </is>
      </c>
      <c r="B139" s="16">
        <f>$B$135+$B$138</f>
        <v/>
      </c>
      <c r="C139" s="5" t="inlineStr"/>
      <c r="D139" s="8" t="inlineStr">
        <is>
          <t>B139</t>
        </is>
      </c>
    </row>
    <row r="140">
      <c r="A140" s="3" t="inlineStr">
        <is>
          <t>温升 ΔT (K)</t>
        </is>
      </c>
      <c r="B140" s="12">
        <f>$B$139*$B$24</f>
        <v/>
      </c>
      <c r="C140" s="5" t="inlineStr"/>
      <c r="D140" s="8" t="inlineStr">
        <is>
          <t>B140</t>
        </is>
      </c>
    </row>
    <row r="141">
      <c r="A141" s="3" t="inlineStr">
        <is>
          <t>满足目标温升所需 Rth (K/W)</t>
        </is>
      </c>
      <c r="B141" s="11">
        <f>$B$25/$B$139</f>
        <v/>
      </c>
      <c r="C141" s="5" t="inlineStr"/>
      <c r="D141" s="8" t="inlineStr">
        <is>
          <t>B141</t>
        </is>
      </c>
    </row>
    <row r="142">
      <c r="A142" s="3" t="inlineStr">
        <is>
          <t>输出电感 L (µH)</t>
        </is>
      </c>
      <c r="B142" s="12">
        <f>IF($B$59,1000000*$B$67*(1-$B$89)/($B$20*$B$41),0)</f>
        <v/>
      </c>
      <c r="C142" s="5" t="inlineStr">
        <is>
          <t>Vin_min 设计点</t>
        </is>
      </c>
      <c r="D142" s="8" t="inlineStr">
        <is>
          <t>B142</t>
        </is>
      </c>
    </row>
    <row r="143">
      <c r="A143" s="3" t="inlineStr">
        <is>
          <t>ΔI_L@Vin_max (A)</t>
        </is>
      </c>
      <c r="B143" s="16">
        <f>IF($B$59,$B$20*(1-$B$90)/(1-$B$89),0)</f>
        <v/>
      </c>
      <c r="C143" s="5" t="inlineStr"/>
      <c r="D143" s="8" t="inlineStr">
        <is>
          <t>B143</t>
        </is>
      </c>
    </row>
    <row r="144">
      <c r="A144" s="3" t="inlineStr">
        <is>
          <t>输出电感峰值 (A)</t>
        </is>
      </c>
      <c r="B144" s="16">
        <f>IF($B$59,$B$12+$B$143/2,0)</f>
        <v/>
      </c>
      <c r="C144" s="5" t="inlineStr"/>
      <c r="D144" s="8" t="inlineStr">
        <is>
          <t>B144</t>
        </is>
      </c>
    </row>
    <row r="145">
      <c r="A145" s="3" t="inlineStr">
        <is>
          <t>输出电感匝数</t>
        </is>
      </c>
      <c r="B145" s="10">
        <f>IF($B$59,CEILING($B$142/1000000*$B$144/($B$75*$B$94),1),0)</f>
        <v/>
      </c>
      <c r="C145" s="5" t="inlineStr"/>
      <c r="D145" s="8" t="inlineStr">
        <is>
          <t>B145</t>
        </is>
      </c>
    </row>
    <row r="146">
      <c r="A146" s="3" t="inlineStr">
        <is>
          <t>输出电感 AL (nH/N²)</t>
        </is>
      </c>
      <c r="B146" s="10">
        <f>IF($B$59,($B$142/1000000)/$B$145^2*1000000000,0)</f>
        <v/>
      </c>
      <c r="C146" s="5" t="inlineStr"/>
      <c r="D146" s="8" t="inlineStr">
        <is>
          <t>B146</t>
        </is>
      </c>
    </row>
    <row r="147">
      <c r="A147" s="3" t="inlineStr">
        <is>
          <t>输出电感气隙 (mm)</t>
        </is>
      </c>
      <c r="B147" s="16">
        <f>IF($B$59,1000*(4*PI()*0.0000001*$B$75*$B$145^2/($B$142/1000000) - $B$43/1000/$B$47),0)</f>
        <v/>
      </c>
      <c r="C147" s="5" t="inlineStr">
        <is>
          <t>AL = µ0·Ae/(lg+le/µi)，AL=L/N²</t>
        </is>
      </c>
      <c r="D147" s="8" t="inlineStr">
        <is>
          <t>B147</t>
        </is>
      </c>
    </row>
    <row r="148">
      <c r="A148" s="3" t="inlineStr">
        <is>
          <t>输出电感 Bpk (T)</t>
        </is>
      </c>
      <c r="B148" s="14">
        <f>IF($B$59,$B$142/1000000*$B$144/($B$145*$B$75),0)</f>
        <v/>
      </c>
      <c r="C148" s="5" t="inlineStr"/>
      <c r="D148" s="8" t="inlineStr">
        <is>
          <t>B148</t>
        </is>
      </c>
    </row>
    <row r="149">
      <c r="A149" s="3" t="inlineStr">
        <is>
          <t>纹波预算 (V)</t>
        </is>
      </c>
      <c r="B149" s="14">
        <f>$B$11*$B$28/100</f>
        <v/>
      </c>
      <c r="C149" s="5" t="inlineStr"/>
      <c r="D149" s="8" t="inlineStr">
        <is>
          <t>B149</t>
        </is>
      </c>
    </row>
    <row r="150">
      <c r="A150" s="3" t="inlineStr">
        <is>
          <t>输出电容纹波电流 (A)</t>
        </is>
      </c>
      <c r="B150" s="16">
        <f>IF($B$59,$B$143/SQRT(12),SQRT(MAX($B$111^2-$B$12^2,0)))</f>
        <v/>
      </c>
      <c r="C150" s="5" t="inlineStr"/>
      <c r="D150" s="8" t="inlineStr">
        <is>
          <t>B150</t>
        </is>
      </c>
    </row>
    <row r="151">
      <c r="A151" s="3" t="inlineStr">
        <is>
          <t>电容纹波电流峰值 (A)</t>
        </is>
      </c>
      <c r="B151" s="16">
        <f>IF($B$59,$B$143,IF($B$57,SQRT(2)*$B$150,$B$110))</f>
        <v/>
      </c>
      <c r="C151" s="5" t="inlineStr"/>
      <c r="D151" s="8" t="inlineStr">
        <is>
          <t>B151</t>
        </is>
      </c>
    </row>
    <row r="152">
      <c r="A152" s="3" t="inlineStr">
        <is>
          <t>ESR 分量 (V)</t>
        </is>
      </c>
      <c r="B152" s="14">
        <f>$B$151*$B$29</f>
        <v/>
      </c>
      <c r="C152" s="5" t="inlineStr"/>
      <c r="D152" s="8" t="inlineStr">
        <is>
          <t>B152</t>
        </is>
      </c>
    </row>
    <row r="153">
      <c r="A153" s="3" t="inlineStr">
        <is>
          <t>输出电容 C_min (µF)</t>
        </is>
      </c>
      <c r="B153" s="11">
        <f>IF($B$152&gt;=$B$149,0,IF($B$59,1000000*$B$143/(8*$B$41*($B$149-$B$152)),IF($B$57,1000000*SQRT(2)*$B$150/(2*PI()*$B$41*($B$149-$B$152)),1000000*$B$12*$B$89/($B$41*($B$149-$B$152)))))</f>
        <v/>
      </c>
      <c r="C153" s="5" t="inlineStr"/>
      <c r="D153" s="8" t="inlineStr">
        <is>
          <t>B153</t>
        </is>
      </c>
    </row>
    <row r="154">
      <c r="A154" s="3" t="inlineStr">
        <is>
          <t>ESR 上限 (mΩ)</t>
        </is>
      </c>
      <c r="B154" s="11">
        <f>$B$149/$B$151*1000</f>
        <v/>
      </c>
      <c r="C154" s="5" t="inlineStr"/>
      <c r="D154" s="8" t="inlineStr">
        <is>
          <t>B154</t>
        </is>
      </c>
    </row>
    <row r="155">
      <c r="A155" s="3" t="inlineStr">
        <is>
          <t>二极管损耗 (W)</t>
        </is>
      </c>
      <c r="B155" s="16">
        <f>$B$13*$B$112</f>
        <v/>
      </c>
      <c r="C155" s="5" t="inlineStr"/>
      <c r="D155" s="8" t="inlineStr">
        <is>
          <t>B155</t>
        </is>
      </c>
    </row>
    <row r="156">
      <c r="A156" s="3" t="inlineStr">
        <is>
          <t>同步整流损耗 (W)</t>
        </is>
      </c>
      <c r="B156" s="16">
        <f>$B$30/1000*$B$111^2+$B$31*$B$112*(2*$B$32/1000000000*$B$41)</f>
        <v/>
      </c>
      <c r="C156" s="5" t="inlineStr"/>
      <c r="D156" s="8" t="inlineStr">
        <is>
          <t>B156</t>
        </is>
      </c>
    </row>
    <row r="157">
      <c r="A157" s="3" t="inlineStr">
        <is>
          <t>SR/二极管临界电流 (A)</t>
        </is>
      </c>
      <c r="B157" s="12">
        <f>$B$13/($B$30/1000)</f>
        <v/>
      </c>
      <c r="C157" s="5" t="inlineStr"/>
      <c r="D157" s="8" t="inlineStr">
        <is>
          <t>B157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Calc!$B$98</f>
        <v/>
      </c>
      <c r="C3" s="16">
        <f>Calc!$B$94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Calc!$B$89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Calc!$B$120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Calc!$B$122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Calc!$B$123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Calc!$B$140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IF(Calc!$B$53=TRUE,Calc!$B$118/Calc!$B$85,1)</f>
        <v/>
      </c>
      <c r="C9" s="16">
        <f>IF(Calc!$B$53=TRUE,Calc!$B$64/(1-Calc!$B$64),1)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Calc!$B$148</f>
        <v/>
      </c>
      <c r="C10" s="16">
        <f>IF(Calc!$B$59,Calc!$B$94,999)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Calc!$B$147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Calc!$B$152/Calc!$B$149*100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ABS(Calc!$B$91/(Calc!$B$85*Calc!$B$75)-(Calc!$B$78/1000000)*Calc!$B$79/(Calc!$B$85*Calc!$B$75))/MAX(Calc!$B$91/(Calc!$B$85*Calc!$B$75),0.000001)</f>
        <v/>
      </c>
    </row>
    <row r="16">
      <c r="A16" s="5" t="inlineStr">
        <is>
          <t>Lm = AL·Np² 往返</t>
        </is>
      </c>
      <c r="B16" s="18">
        <f>ABS(Calc!$B$95/1000000000*Calc!$B$85*Calc!$B$85-(Calc!$B$96/1000000))/(Calc!$B$96/1000000)</f>
        <v/>
      </c>
    </row>
    <row r="17">
      <c r="A17" s="5" t="inlineStr">
        <is>
          <t>填充率往返：铜面积×k_pack/Aw</t>
        </is>
      </c>
      <c r="B17" s="18">
        <f>ABS(Calc!$B$120/100*Calc!$B$44/Calc!$B$23-Calc!$B$119)/MAX(Calc!$B$119,0.000001)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IF(Calc!$B$46=0,0,ABS(Calc!$B$46-1000000*4*PI()*0.0000001*Calc!$B$47*Calc!$B$75/(Calc!$B$43/1000))/(1000000*4*PI()*0.0000001*Calc!$B$47*Calc!$B$75/(Calc!$B$43/1000)))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2026-10-16T07:09:53Z</dcterms:created>
  <dcterms:modified xsi:type="dcterms:W3CDTF">2026-10-16T07:09:53Z</dcterms:modified>
</cp:coreProperties>
</file>